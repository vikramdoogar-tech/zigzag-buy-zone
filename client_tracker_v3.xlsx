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📋 HOW TO USE" sheetId="1" state="visible" r:id="rId3"/>
    <sheet name="Vikram — Own Portfolio" sheetId="2" state="visible" r:id="rId4"/>
    <sheet name="Divya Naresh Sewani" sheetId="3" state="visible" r:id="rId5"/>
    <sheet name="Shreya Banthia" sheetId="4" state="visible" r:id="rId6"/>
    <sheet name="Nidhi Jai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<sst xmlns="http://schemas.openxmlformats.org/spreadsheetml/2006/main" count="431" uniqueCount="310">
  <si>
    <t xml:space="preserve">📋 HOW TO USE — ZIGZAG ROTATION CLIENT TRACKER</t>
  </si>
  <si>
    <t xml:space="preserve">📋 HOW TO USE THIS TRACKER</t>
  </si>
  <si>
    <t xml:space="preserve">STEP 1 — UPDATE CMP (Column E)</t>
  </si>
  <si>
    <t xml:space="preserve">The CMP column is pre-filled with last known price. Update it with today's price or link to a live feed.</t>
  </si>
  <si>
    <t xml:space="preserve">STEP 2 — FILL LEVELS (Yellow columns F to J)</t>
  </si>
  <si>
    <t xml:space="preserve">Fill in your levels manually for each stock:</t>
  </si>
  <si>
    <t xml:space="preserve">  F = Long Term SL</t>
  </si>
  <si>
    <t xml:space="preserve">Your long-term stop loss price</t>
  </si>
  <si>
    <t xml:space="preserve">  G = Short Term SL</t>
  </si>
  <si>
    <t xml:space="preserve">Your short-term stop loss price</t>
  </si>
  <si>
    <t xml:space="preserve">  H = Short Term TGT</t>
  </si>
  <si>
    <t xml:space="preserve">Your short-term target price</t>
  </si>
  <si>
    <t xml:space="preserve">  I = Long Term TGT</t>
  </si>
  <si>
    <t xml:space="preserve">Your long-term target price</t>
  </si>
  <si>
    <t xml:space="preserve">  J = Final TGT</t>
  </si>
  <si>
    <t xml:space="preserve">Your maximum target price</t>
  </si>
  <si>
    <t xml:space="preserve">STEP 3 — Everything else auto-calculates</t>
  </si>
  <si>
    <t xml:space="preserve">Exposure, Unrealised P&amp;L, %P&amp;L, ST Loss, ST Profit, LT Profit, TGT Profit all calculate automatically.</t>
  </si>
  <si>
    <t xml:space="preserve">UPLOADING TO STREAMLIT TRACKER</t>
  </si>
  <si>
    <t xml:space="preserve">  — Go to Tab 3 (Bulk Upload) in the Streamlit app</t>
  </si>
  <si>
    <t xml:space="preserve">  — Download the CSV Template to see exact column format</t>
  </si>
  <si>
    <t xml:space="preserve">  — Or copy the data from each client sheet and fill the CSV</t>
  </si>
  <si>
    <t xml:space="preserve">COLOUR LEGEND</t>
  </si>
  <si>
    <t xml:space="preserve">  🟡 Yellow = Fill manually (your levels)</t>
  </si>
  <si>
    <t xml:space="preserve">  🔵 Blue tint = Auto-calculated formula</t>
  </si>
  <si>
    <t xml:space="preserve">  🟢 Green = Profit position</t>
  </si>
  <si>
    <t xml:space="preserve">  🔴 Red = Loss position</t>
  </si>
  <si>
    <t xml:space="preserve">  🔵 Blue text = Input values (avg cost, CMP, levels)</t>
  </si>
  <si>
    <t xml:space="preserve">  ⚫ Black text = Formula outputs</t>
  </si>
  <si>
    <t xml:space="preserve">📊 VIKRAM — OWN PORTFOLIO — POSITION TRACKER</t>
  </si>
  <si>
    <t xml:space="preserve">POSITION INFO</t>
  </si>
  <si>
    <t xml:space="preserve">← FILL LEVELS MANUALLY →</t>
  </si>
  <si>
    <t xml:space="preserve">LIVE METRICS</t>
  </si>
  <si>
    <t xml:space="preserve">P&amp;L SCENARIOS</t>
  </si>
  <si>
    <t xml:space="preserve">Script</t>
  </si>
  <si>
    <t xml:space="preserve">NSE Symbol</t>
  </si>
  <si>
    <t xml:space="preserve">Qty</t>
  </si>
  <si>
    <t xml:space="preserve">Avg Cost ₹</t>
  </si>
  <si>
    <t xml:space="preserve">CMP ₹</t>
  </si>
  <si>
    <t xml:space="preserve">Long SL ₹</t>
  </si>
  <si>
    <t xml:space="preserve">Short SL ₹</t>
  </si>
  <si>
    <t xml:space="preserve">Short TGT ₹</t>
  </si>
  <si>
    <t xml:space="preserve">Long TGT ₹</t>
  </si>
  <si>
    <t xml:space="preserve">Final TGT ₹</t>
  </si>
  <si>
    <t xml:space="preserve">Exposure ₹</t>
  </si>
  <si>
    <t xml:space="preserve">Unreal P&amp;L ₹</t>
  </si>
  <si>
    <t xml:space="preserve">%P&amp;L</t>
  </si>
  <si>
    <t xml:space="preserve">ST Loss ₹</t>
  </si>
  <si>
    <t xml:space="preserve">ST Profit ₹</t>
  </si>
  <si>
    <t xml:space="preserve">LT Profit ₹</t>
  </si>
  <si>
    <t xml:space="preserve">TGT Profit ₹</t>
  </si>
  <si>
    <t xml:space="preserve">ADF Foods Ltd</t>
  </si>
  <si>
    <t xml:space="preserve">ADFFOODS</t>
  </si>
  <si>
    <t xml:space="preserve">Aditya Birla Real Estate</t>
  </si>
  <si>
    <t xml:space="preserve">ABREALTY</t>
  </si>
  <si>
    <t xml:space="preserve">Akzo Nobel India</t>
  </si>
  <si>
    <t xml:space="preserve">AKZOINDIA</t>
  </si>
  <si>
    <t xml:space="preserve">Amines &amp; Plasticizers</t>
  </si>
  <si>
    <t xml:space="preserve">AMNPLST</t>
  </si>
  <si>
    <t xml:space="preserve">Anthem Biosciences</t>
  </si>
  <si>
    <t xml:space="preserve">ANTHEM</t>
  </si>
  <si>
    <t xml:space="preserve">Apar Industries</t>
  </si>
  <si>
    <t xml:space="preserve">APARINDS</t>
  </si>
  <si>
    <t xml:space="preserve">Aries Agro</t>
  </si>
  <si>
    <t xml:space="preserve">ARIESAGRO</t>
  </si>
  <si>
    <t xml:space="preserve">Arrow Greentech</t>
  </si>
  <si>
    <t xml:space="preserve">ARROWGREEN</t>
  </si>
  <si>
    <t xml:space="preserve">Atlanta Electricals</t>
  </si>
  <si>
    <t xml:space="preserve">ATLANTA</t>
  </si>
  <si>
    <t xml:space="preserve">Bhagyanagar India</t>
  </si>
  <si>
    <t xml:space="preserve">BHIN</t>
  </si>
  <si>
    <t xml:space="preserve">Bharat Wire Ropes</t>
  </si>
  <si>
    <t xml:space="preserve">BHARATWIRE</t>
  </si>
  <si>
    <t xml:space="preserve">Chennai Petroleum</t>
  </si>
  <si>
    <t xml:space="preserve">CHENNPETRO</t>
  </si>
  <si>
    <t xml:space="preserve">Conso. Fin. &amp; Hold.</t>
  </si>
  <si>
    <t xml:space="preserve">CONSOFINVST</t>
  </si>
  <si>
    <t xml:space="preserve">Deep Diamond India</t>
  </si>
  <si>
    <t xml:space="preserve">DEEPDIAM</t>
  </si>
  <si>
    <t xml:space="preserve">Donear Industries</t>
  </si>
  <si>
    <t xml:space="preserve">DONEAR</t>
  </si>
  <si>
    <t xml:space="preserve">Dredging Corp of India</t>
  </si>
  <si>
    <t xml:space="preserve">DREDGECORP</t>
  </si>
  <si>
    <t xml:space="preserve">Ducon Infratechnologies</t>
  </si>
  <si>
    <t xml:space="preserve">DUCON</t>
  </si>
  <si>
    <t xml:space="preserve">Edelweiss Fin Serv</t>
  </si>
  <si>
    <t xml:space="preserve">EDELWEISS</t>
  </si>
  <si>
    <t xml:space="preserve">Energy Dev. Co.</t>
  </si>
  <si>
    <t xml:space="preserve">ENERGYDEV</t>
  </si>
  <si>
    <t xml:space="preserve">Epack Prefab Technologies</t>
  </si>
  <si>
    <t xml:space="preserve">EPACK</t>
  </si>
  <si>
    <t xml:space="preserve">Garuda Construction</t>
  </si>
  <si>
    <t xml:space="preserve">GARUDA</t>
  </si>
  <si>
    <t xml:space="preserve">GK Energy</t>
  </si>
  <si>
    <t xml:space="preserve">GKENERGY</t>
  </si>
  <si>
    <t xml:space="preserve">GMR Power &amp; Urban Infra</t>
  </si>
  <si>
    <t xml:space="preserve">GMRP&amp;UI</t>
  </si>
  <si>
    <t xml:space="preserve">GNG Electronics</t>
  </si>
  <si>
    <t xml:space="preserve">GNGELEC</t>
  </si>
  <si>
    <t xml:space="preserve">Godrej Industries</t>
  </si>
  <si>
    <t xml:space="preserve">GODREJIND</t>
  </si>
  <si>
    <t xml:space="preserve">Gujarat Pipavav Port</t>
  </si>
  <si>
    <t xml:space="preserve">GPPL</t>
  </si>
  <si>
    <t xml:space="preserve">Himadri Speciality Chem</t>
  </si>
  <si>
    <t xml:space="preserve">HMDSPCHEM</t>
  </si>
  <si>
    <t xml:space="preserve">HMA Agro Industries</t>
  </si>
  <si>
    <t xml:space="preserve">HMAAGRO</t>
  </si>
  <si>
    <t xml:space="preserve">Indian Oil Corp</t>
  </si>
  <si>
    <t xml:space="preserve">IOC</t>
  </si>
  <si>
    <t xml:space="preserve">Inox Wind</t>
  </si>
  <si>
    <t xml:space="preserve">INOXWIND</t>
  </si>
  <si>
    <t xml:space="preserve">Jayaswal Neco Industries</t>
  </si>
  <si>
    <t xml:space="preserve">JAYASWAL</t>
  </si>
  <si>
    <t xml:space="preserve">JK Tyre &amp; Industries</t>
  </si>
  <si>
    <t xml:space="preserve">JKTYRE</t>
  </si>
  <si>
    <t xml:space="preserve">Jullundur Motor Agency</t>
  </si>
  <si>
    <t xml:space="preserve">JULLUNDUR</t>
  </si>
  <si>
    <t xml:space="preserve">Kanpur Plastipack</t>
  </si>
  <si>
    <t xml:space="preserve">KANPLAS</t>
  </si>
  <si>
    <t xml:space="preserve">KCP Ltd</t>
  </si>
  <si>
    <t xml:space="preserve">KCP</t>
  </si>
  <si>
    <t xml:space="preserve">Kiri Industries</t>
  </si>
  <si>
    <t xml:space="preserve">KIRIINDUS</t>
  </si>
  <si>
    <t xml:space="preserve">Kisan Mouldings</t>
  </si>
  <si>
    <t xml:space="preserve">KISANMOULD</t>
  </si>
  <si>
    <t xml:space="preserve">Knowledge Marine &amp; Engg</t>
  </si>
  <si>
    <t xml:space="preserve">KMEW</t>
  </si>
  <si>
    <t xml:space="preserve">Kwality Pharmaceuticals</t>
  </si>
  <si>
    <t xml:space="preserve">KWALIFIN</t>
  </si>
  <si>
    <t xml:space="preserve">Mafatlal Industries</t>
  </si>
  <si>
    <t xml:space="preserve">MAFATLAL</t>
  </si>
  <si>
    <t xml:space="preserve">MRPL</t>
  </si>
  <si>
    <t xml:space="preserve">Niyogin Fintech</t>
  </si>
  <si>
    <t xml:space="preserve">NIYOGIN</t>
  </si>
  <si>
    <t xml:space="preserve">Omaxe Ltd</t>
  </si>
  <si>
    <t xml:space="preserve">OMAXE</t>
  </si>
  <si>
    <t xml:space="preserve">Orient Ceratech</t>
  </si>
  <si>
    <t xml:space="preserve">ORIENTCER</t>
  </si>
  <si>
    <t xml:space="preserve">Park Medi World</t>
  </si>
  <si>
    <t xml:space="preserve">PARKMW</t>
  </si>
  <si>
    <t xml:space="preserve">Pasupati Acrylon</t>
  </si>
  <si>
    <t xml:space="preserve">PASUPTAC</t>
  </si>
  <si>
    <t xml:space="preserve">PSP Projects</t>
  </si>
  <si>
    <t xml:space="preserve">PSPPROJECT</t>
  </si>
  <si>
    <t xml:space="preserve">PVV Infra</t>
  </si>
  <si>
    <t xml:space="preserve">PVVINFRA</t>
  </si>
  <si>
    <t xml:space="preserve">Rategain Travel Tech</t>
  </si>
  <si>
    <t xml:space="preserve">RATEGAIN</t>
  </si>
  <si>
    <t xml:space="preserve">Redington</t>
  </si>
  <si>
    <t xml:space="preserve">REDINGTON</t>
  </si>
  <si>
    <t xml:space="preserve">S Chand and Company</t>
  </si>
  <si>
    <t xml:space="preserve">SCHAND</t>
  </si>
  <si>
    <t xml:space="preserve">Sangam (India)</t>
  </si>
  <si>
    <t xml:space="preserve">SANGAMIND</t>
  </si>
  <si>
    <t xml:space="preserve">Saraswati Saree Depot</t>
  </si>
  <si>
    <t xml:space="preserve">SAREEDEP</t>
  </si>
  <si>
    <t xml:space="preserve">SE Power</t>
  </si>
  <si>
    <t xml:space="preserve">SEPOWER</t>
  </si>
  <si>
    <t xml:space="preserve">Sejal Glass</t>
  </si>
  <si>
    <t xml:space="preserve">SEJALGLASS</t>
  </si>
  <si>
    <t xml:space="preserve">SG Finserve</t>
  </si>
  <si>
    <t xml:space="preserve">SGFINSERVE</t>
  </si>
  <si>
    <t xml:space="preserve">Signpost India</t>
  </si>
  <si>
    <t xml:space="preserve">SIGNPOST</t>
  </si>
  <si>
    <t xml:space="preserve">Simplex Infrastructures</t>
  </si>
  <si>
    <t xml:space="preserve">SIMPLEXINF</t>
  </si>
  <si>
    <t xml:space="preserve">SPIC Ltd</t>
  </si>
  <si>
    <t xml:space="preserve">SPIC</t>
  </si>
  <si>
    <t xml:space="preserve">TAKE Solutions</t>
  </si>
  <si>
    <t xml:space="preserve">TAKE</t>
  </si>
  <si>
    <t xml:space="preserve">Titagarh Rail Systems</t>
  </si>
  <si>
    <t xml:space="preserve">TITAGARH</t>
  </si>
  <si>
    <t xml:space="preserve">Trans &amp; Rectifiers</t>
  </si>
  <si>
    <t xml:space="preserve">TRANSREC</t>
  </si>
  <si>
    <t xml:space="preserve">Trejhara Solutions</t>
  </si>
  <si>
    <t xml:space="preserve">TREJHARA</t>
  </si>
  <si>
    <t xml:space="preserve">Trigyn Technologies</t>
  </si>
  <si>
    <t xml:space="preserve">TRIGYN</t>
  </si>
  <si>
    <t xml:space="preserve">Universus Imagings</t>
  </si>
  <si>
    <t xml:space="preserve">UNIVIMG</t>
  </si>
  <si>
    <t xml:space="preserve">Wakefit Innovations</t>
  </si>
  <si>
    <t xml:space="preserve">WAKEFIT</t>
  </si>
  <si>
    <t xml:space="preserve">Walchandnagar Industries</t>
  </si>
  <si>
    <t xml:space="preserve">WIL</t>
  </si>
  <si>
    <t xml:space="preserve">Wanbury Ltd</t>
  </si>
  <si>
    <t xml:space="preserve">WANBURY</t>
  </si>
  <si>
    <t xml:space="preserve">TOTAL</t>
  </si>
  <si>
    <t xml:space="preserve">🟡 Yellow columns = Manual input (fill levels)   |   🔵 Blue columns = Auto-calculated   |   🟢 Green = Profit   |   🔴 Red = Loss</t>
  </si>
  <si>
    <t xml:space="preserve">📊 DIVYA NARESH SEWANI — POSITION TRACKER</t>
  </si>
  <si>
    <t xml:space="preserve">Ansal Buildwell</t>
  </si>
  <si>
    <t xml:space="preserve">523007</t>
  </si>
  <si>
    <t xml:space="preserve">Ansal Housing</t>
  </si>
  <si>
    <t xml:space="preserve">ANSALHSG</t>
  </si>
  <si>
    <t xml:space="preserve">Chambal Fertilisers</t>
  </si>
  <si>
    <t xml:space="preserve">CHAMBLFERT</t>
  </si>
  <si>
    <t xml:space="preserve">Fratelli Vineyards</t>
  </si>
  <si>
    <t xml:space="preserve">541741</t>
  </si>
  <si>
    <t xml:space="preserve">530145</t>
  </si>
  <si>
    <t xml:space="preserve">539997</t>
  </si>
  <si>
    <t xml:space="preserve">Mold-Tek Packaging</t>
  </si>
  <si>
    <t xml:space="preserve">MOLDTKPAC</t>
  </si>
  <si>
    <t xml:space="preserve">538772</t>
  </si>
  <si>
    <t xml:space="preserve">Paradeep Phosphates</t>
  </si>
  <si>
    <t xml:space="preserve">PARADEEP</t>
  </si>
  <si>
    <t xml:space="preserve">STL Networks</t>
  </si>
  <si>
    <t xml:space="preserve">STLNETWORK</t>
  </si>
  <si>
    <t xml:space="preserve">Suven Life Sciences</t>
  </si>
  <si>
    <t xml:space="preserve">SUVEN</t>
  </si>
  <si>
    <t xml:space="preserve">Tasty Bite Eatables</t>
  </si>
  <si>
    <t xml:space="preserve">TASTYBITE</t>
  </si>
  <si>
    <t xml:space="preserve">Texel Industries</t>
  </si>
  <si>
    <t xml:space="preserve">526638</t>
  </si>
  <si>
    <t xml:space="preserve">Thirumalai Chemicals</t>
  </si>
  <si>
    <t xml:space="preserve">TIRUMALCHM</t>
  </si>
  <si>
    <t xml:space="preserve">📊 SHREYA BANTHIA — POSITION TRACKER</t>
  </si>
  <si>
    <t xml:space="preserve">yes bank</t>
  </si>
  <si>
    <t xml:space="preserve">YESBANK</t>
  </si>
  <si>
    <t xml:space="preserve">laurus</t>
  </si>
  <si>
    <t xml:space="preserve">LAURUSLAB</t>
  </si>
  <si>
    <t xml:space="preserve">Jain Irrigation</t>
  </si>
  <si>
    <t xml:space="preserve">JISLJALEQS</t>
  </si>
  <si>
    <t xml:space="preserve">sterlite tech</t>
  </si>
  <si>
    <t xml:space="preserve">NACLIND</t>
  </si>
  <si>
    <t xml:space="preserve">Spicejet</t>
  </si>
  <si>
    <t xml:space="preserve">SPICEJET</t>
  </si>
  <si>
    <t xml:space="preserve">Vinyas Innovative Tech</t>
  </si>
  <si>
    <t xml:space="preserve">VINYAS</t>
  </si>
  <si>
    <t xml:space="preserve">🟡 Yellow = Fill manually   |   🔵 Blue tint = Auto-calculated   |   🟢 Green = Profit   |   🔴 Red = Loss   |   Darker yellow = Level already filled</t>
  </si>
  <si>
    <t xml:space="preserve">📊 NIDHI JAIN — POSITION TRACKER</t>
  </si>
  <si>
    <t xml:space="preserve">A B B</t>
  </si>
  <si>
    <t xml:space="preserve">ABB</t>
  </si>
  <si>
    <t xml:space="preserve">Anand Rathi Wealth</t>
  </si>
  <si>
    <t xml:space="preserve">ANANDRATHI</t>
  </si>
  <si>
    <t xml:space="preserve">Apollo Pipes</t>
  </si>
  <si>
    <t xml:space="preserve">APOLLOPIPE</t>
  </si>
  <si>
    <t xml:space="preserve">Ather Energy</t>
  </si>
  <si>
    <t xml:space="preserve">ATHERENERG</t>
  </si>
  <si>
    <t xml:space="preserve">ATLANTAELE</t>
  </si>
  <si>
    <t xml:space="preserve">Bank of Maharashtra</t>
  </si>
  <si>
    <t xml:space="preserve">MAHABANK</t>
  </si>
  <si>
    <t xml:space="preserve">Bharti Hexacom</t>
  </si>
  <si>
    <t xml:space="preserve">BHARTIHEXA</t>
  </si>
  <si>
    <t xml:space="preserve">Britannia Industries</t>
  </si>
  <si>
    <t xml:space="preserve">BRITANNIA</t>
  </si>
  <si>
    <t xml:space="preserve">Cochin Shipyard</t>
  </si>
  <si>
    <t xml:space="preserve">COCHINSHIP</t>
  </si>
  <si>
    <t xml:space="preserve">Cons. Finvest</t>
  </si>
  <si>
    <t xml:space="preserve">CONSOFINVT</t>
  </si>
  <si>
    <t xml:space="preserve">Elecon Engineering</t>
  </si>
  <si>
    <t xml:space="preserve">ELECON</t>
  </si>
  <si>
    <t xml:space="preserve">Fedbank Financial</t>
  </si>
  <si>
    <t xml:space="preserve">FEDFINA</t>
  </si>
  <si>
    <t xml:space="preserve">GE Vernova T&amp;D</t>
  </si>
  <si>
    <t xml:space="preserve">GVT&amp;D</t>
  </si>
  <si>
    <t xml:space="preserve">Globus Spirits</t>
  </si>
  <si>
    <t xml:space="preserve">GLOBUSSPR</t>
  </si>
  <si>
    <t xml:space="preserve">HSCL</t>
  </si>
  <si>
    <t xml:space="preserve">Hyundai Motor India</t>
  </si>
  <si>
    <t xml:space="preserve">HYUNDAI</t>
  </si>
  <si>
    <t xml:space="preserve">IOCL</t>
  </si>
  <si>
    <t xml:space="preserve">ICICI AMC</t>
  </si>
  <si>
    <t xml:space="preserve">ICICIAMC</t>
  </si>
  <si>
    <t xml:space="preserve">Ind-Swift Labs</t>
  </si>
  <si>
    <t xml:space="preserve">INDSWFTLAB</t>
  </si>
  <si>
    <t xml:space="preserve">ION Exchange</t>
  </si>
  <si>
    <t xml:space="preserve">IONEXCHANG</t>
  </si>
  <si>
    <t xml:space="preserve">Jayaswal Neco</t>
  </si>
  <si>
    <t xml:space="preserve">JAYNECOIND</t>
  </si>
  <si>
    <t xml:space="preserve">Jindal Photo</t>
  </si>
  <si>
    <t xml:space="preserve">JINDALPHOT</t>
  </si>
  <si>
    <t xml:space="preserve">Just Dial</t>
  </si>
  <si>
    <t xml:space="preserve">JUSTDIAL</t>
  </si>
  <si>
    <t xml:space="preserve">KEI Industries</t>
  </si>
  <si>
    <t xml:space="preserve">KEI</t>
  </si>
  <si>
    <t xml:space="preserve">Ksolves India</t>
  </si>
  <si>
    <t xml:space="preserve">KSOLVES</t>
  </si>
  <si>
    <t xml:space="preserve">Leela Palaces Hotels</t>
  </si>
  <si>
    <t xml:space="preserve">THELEELA</t>
  </si>
  <si>
    <t xml:space="preserve">Lupin</t>
  </si>
  <si>
    <t xml:space="preserve">LUPIN</t>
  </si>
  <si>
    <t xml:space="preserve">Netweb Technologies</t>
  </si>
  <si>
    <t xml:space="preserve">NETWEB</t>
  </si>
  <si>
    <t xml:space="preserve">OnMobile Global</t>
  </si>
  <si>
    <t xml:space="preserve">ONMOBILE</t>
  </si>
  <si>
    <t xml:space="preserve">Orchid Pharma</t>
  </si>
  <si>
    <t xml:space="preserve">ORCHPHARMA</t>
  </si>
  <si>
    <t xml:space="preserve">P&amp;G Health</t>
  </si>
  <si>
    <t xml:space="preserve">PGHL</t>
  </si>
  <si>
    <t xml:space="preserve">Polycab India</t>
  </si>
  <si>
    <t xml:space="preserve">POLYCAB</t>
  </si>
  <si>
    <t xml:space="preserve">Quality Power Electrical</t>
  </si>
  <si>
    <t xml:space="preserve">QPOWER</t>
  </si>
  <si>
    <t xml:space="preserve">Rain Industries</t>
  </si>
  <si>
    <t xml:space="preserve">RAIN</t>
  </si>
  <si>
    <t xml:space="preserve">Rubicon Research</t>
  </si>
  <si>
    <t xml:space="preserve">RUBICON</t>
  </si>
  <si>
    <t xml:space="preserve">Sandesh</t>
  </si>
  <si>
    <t xml:space="preserve">SANDESH</t>
  </si>
  <si>
    <t xml:space="preserve">Sangam India</t>
  </si>
  <si>
    <t xml:space="preserve">SGFIN</t>
  </si>
  <si>
    <t xml:space="preserve">Silver Touch</t>
  </si>
  <si>
    <t xml:space="preserve">SILVERTUC</t>
  </si>
  <si>
    <t xml:space="preserve">Swaraj Engines</t>
  </si>
  <si>
    <t xml:space="preserve">SWARAJENG</t>
  </si>
  <si>
    <t xml:space="preserve">TARIL</t>
  </si>
  <si>
    <t xml:space="preserve">Tata Motors PVeh</t>
  </si>
  <si>
    <t xml:space="preserve">TMPV</t>
  </si>
  <si>
    <t xml:space="preserve">Tierra Agrotech</t>
  </si>
  <si>
    <t xml:space="preserve">TIERRA</t>
  </si>
  <si>
    <t xml:space="preserve">UNIVPHOTO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</si>
</sst>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#,##0;\(#,##0\);\-"/>
    <numFmt numFmtId="168" formatCode="0.0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sz val="9"/>
      <name val="Arial"/>
      <family val="2"/>
      <charset val="1"/>
    </font>
    <font>
      <sz val="9"/>
      <color rgb="FF444444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9"/>
      <color rgb="FF1F3864"/>
      <name val="Arial"/>
      <family val="2"/>
      <charset val="1"/>
    </font>
    <font>
      <sz val="9"/>
      <color rgb="FF374151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CC"/>
      <name val="Arial"/>
      <family val="2"/>
      <charset val="1"/>
    </font>
    <font>
      <sz val="9"/>
      <color rgb="FF0000CC"/>
      <name val="Arial"/>
      <family val="0"/>
      <charset val="1"/>
    </font>
    <font>
      <b val="true"/>
      <sz val="9"/>
      <color rgb="FFFFFFFF"/>
      <name val="Arial"/>
      <family val="2"/>
      <charset val="1"/>
    </font>
    <font>
      <b val="true"/>
      <sz val="9"/>
      <name val="Arial"/>
      <family val="2"/>
      <charset val="1"/>
    </font>
    <font>
      <i val="true"/>
      <sz val="8"/>
      <color rgb="FF555555"/>
      <name val="Arial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374151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FF6B35"/>
        <bgColor rgb="FFFF8080"/>
      </patternFill>
    </fill>
    <fill>
      <patternFill patternType="solid">
        <fgColor rgb="FFD6E4F7"/>
        <bgColor rgb="FFD4EDDA"/>
      </patternFill>
    </fill>
    <fill>
      <patternFill patternType="solid">
        <fgColor rgb="FF1F3864"/>
        <bgColor rgb="FF2C3E6B"/>
      </patternFill>
    </fill>
    <fill>
      <patternFill patternType="solid">
        <fgColor rgb="FF2C3E6B"/>
        <bgColor rgb="FF1F3864"/>
      </patternFill>
    </fill>
    <fill>
      <patternFill patternType="solid">
        <fgColor rgb="FF7F3F00"/>
        <bgColor rgb="FF7B2C2C"/>
      </patternFill>
    </fill>
    <fill>
      <patternFill patternType="solid">
        <fgColor rgb="FF1A5276"/>
        <bgColor rgb="FF2C3E6B"/>
      </patternFill>
    </fill>
    <fill>
      <patternFill patternType="solid">
        <fgColor rgb="FF1B5E20"/>
        <bgColor rgb="FF155724"/>
      </patternFill>
    </fill>
    <fill>
      <patternFill patternType="solid">
        <fgColor rgb="FF1F2937"/>
        <bgColor rgb="FF1F3864"/>
      </patternFill>
    </fill>
    <fill>
      <patternFill patternType="solid">
        <fgColor rgb="FFF8F9FA"/>
        <bgColor rgb="FFFFFFFF"/>
      </patternFill>
    </fill>
    <fill>
      <patternFill patternType="solid">
        <fgColor rgb="FFEBF5FB"/>
        <bgColor rgb="FFF8F9FA"/>
      </patternFill>
    </fill>
    <fill>
      <patternFill patternType="solid">
        <fgColor rgb="FFFFF9C4"/>
        <bgColor rgb="FFFFFDE7"/>
      </patternFill>
    </fill>
    <fill>
      <patternFill patternType="solid">
        <fgColor rgb="FFFFFFFF"/>
        <bgColor rgb="FFF8F9FA"/>
      </patternFill>
    </fill>
    <fill>
      <patternFill patternType="solid">
        <fgColor rgb="FFFFFDE7"/>
        <bgColor rgb="FFF8F9FA"/>
      </patternFill>
    </fill>
    <fill>
      <patternFill patternType="solid">
        <fgColor rgb="FFE8ECEF"/>
        <bgColor rgb="FFEBF5FB"/>
      </patternFill>
    </fill>
    <fill>
      <patternFill patternType="solid">
        <fgColor rgb="FF375623"/>
        <bgColor rgb="FF1B5E20"/>
      </patternFill>
    </fill>
    <fill>
      <patternFill patternType="solid">
        <fgColor rgb="FF7B2C2C"/>
        <bgColor rgb="FF721C24"/>
      </patternFill>
    </fill>
    <fill>
      <patternFill patternType="solid">
        <fgColor rgb="FF4A235A"/>
        <bgColor rgb="FF37415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155724"/>
      </font>
      <fill>
        <patternFill>
          <bgColor rgb="FFD4EDDA"/>
        </patternFill>
      </fill>
    </dxf>
    <dxf>
      <font>
        <color rgb="FF721C24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721C24"/>
      <rgbColor rgb="FF1B5E20"/>
      <rgbColor rgb="FF000080"/>
      <rgbColor rgb="FF375623"/>
      <rgbColor rgb="FF800080"/>
      <rgbColor rgb="FF008080"/>
      <rgbColor rgb="FFCCCCCC"/>
      <rgbColor rgb="FF808080"/>
      <rgbColor rgb="FF9999FF"/>
      <rgbColor rgb="FF7B2C2C"/>
      <rgbColor rgb="FFFFF9C4"/>
      <rgbColor rgb="FFEBF5FB"/>
      <rgbColor rgb="FF4A235A"/>
      <rgbColor rgb="FFFF8080"/>
      <rgbColor rgb="FF1A5276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EF"/>
      <rgbColor rgb="FFD4EDDA"/>
      <rgbColor rgb="FFFFFDE7"/>
      <rgbColor rgb="FFF8F9FA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B35"/>
      <rgbColor rgb="FF555555"/>
      <rgbColor rgb="FF969696"/>
      <rgbColor rgb="FF1F3864"/>
      <rgbColor rgb="FF339966"/>
      <rgbColor rgb="FF155724"/>
      <rgbColor rgb="FF444444"/>
      <rgbColor rgb="FF7F3F00"/>
      <rgbColor rgb="FF374151"/>
      <rgbColor rgb="FF2C3E6B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0"/>
  </cols>
  <sheetData>
    <row r="1" customFormat="false" ht="30" hidden="false" customHeight="true" outlineLevel="0" collapsed="false">
      <c r="A1" s="2" t="s">
        <v>0</v>
      </c>
      <c r="B1" s="2"/>
    </row>
    <row r="2" customFormat="false" ht="15.75" hidden="false" customHeight="true" outlineLevel="0" collapsed="false">
      <c r="A2" s="3"/>
      <c r="B2" s="4"/>
    </row>
    <row r="3" customFormat="false" ht="15.75" hidden="false" customHeight="true" outlineLevel="0" collapsed="false">
      <c r="A3" s="5" t="s">
        <v>1</v>
      </c>
    </row>
    <row r="4" customFormat="false" ht="15.75" hidden="false" customHeight="true" outlineLevel="0" collapsed="false">
      <c r="A4" s="3"/>
      <c r="B4" s="4"/>
    </row>
    <row r="5" customFormat="false" ht="15.75" hidden="false" customHeight="true" outlineLevel="0" collapsed="false">
      <c r="A5" s="6" t="s">
        <v>2</v>
      </c>
      <c r="B5" s="1" t="s">
        <v>3</v>
      </c>
    </row>
    <row r="6" customFormat="false" ht="15.75" hidden="false" customHeight="true" outlineLevel="0" collapsed="false">
      <c r="A6" s="6" t="s">
        <v>4</v>
      </c>
      <c r="B6" s="1" t="s">
        <v>5</v>
      </c>
    </row>
    <row r="7" customFormat="false" ht="15.75" hidden="false" customHeight="true" outlineLevel="0" collapsed="false">
      <c r="A7" s="3" t="s">
        <v>6</v>
      </c>
      <c r="B7" s="4" t="s">
        <v>7</v>
      </c>
    </row>
    <row r="8" customFormat="false" ht="15.75" hidden="false" customHeight="true" outlineLevel="0" collapsed="false">
      <c r="A8" s="3" t="s">
        <v>8</v>
      </c>
      <c r="B8" s="4" t="s">
        <v>9</v>
      </c>
    </row>
    <row r="9" customFormat="false" ht="15.75" hidden="false" customHeight="true" outlineLevel="0" collapsed="false">
      <c r="A9" s="3" t="s">
        <v>10</v>
      </c>
      <c r="B9" s="4" t="s">
        <v>11</v>
      </c>
    </row>
    <row r="10" customFormat="false" ht="15.75" hidden="false" customHeight="true" outlineLevel="0" collapsed="false">
      <c r="A10" s="3" t="s">
        <v>12</v>
      </c>
      <c r="B10" s="4" t="s">
        <v>13</v>
      </c>
    </row>
    <row r="11" customFormat="false" ht="15.75" hidden="false" customHeight="true" outlineLevel="0" collapsed="false">
      <c r="A11" s="3" t="s">
        <v>14</v>
      </c>
      <c r="B11" s="4" t="s">
        <v>15</v>
      </c>
    </row>
    <row r="12" customFormat="false" ht="15.75" hidden="false" customHeight="true" outlineLevel="0" collapsed="false">
      <c r="A12" s="6" t="s">
        <v>16</v>
      </c>
      <c r="B12" s="1" t="s">
        <v>17</v>
      </c>
    </row>
    <row r="13" customFormat="false" ht="15.75" hidden="false" customHeight="true" outlineLevel="0" collapsed="false">
      <c r="A13" s="3"/>
      <c r="B13" s="4"/>
    </row>
    <row r="14" customFormat="false" ht="15.75" hidden="false" customHeight="true" outlineLevel="0" collapsed="false">
      <c r="A14" s="6" t="s">
        <v>18</v>
      </c>
    </row>
    <row r="15" customFormat="false" ht="15.75" hidden="false" customHeight="true" outlineLevel="0" collapsed="false">
      <c r="A15" s="3" t="s">
        <v>19</v>
      </c>
      <c r="B15" s="4"/>
    </row>
    <row r="16" customFormat="false" ht="15.75" hidden="false" customHeight="true" outlineLevel="0" collapsed="false">
      <c r="A16" s="3" t="s">
        <v>20</v>
      </c>
      <c r="B16" s="4"/>
    </row>
    <row r="17" customFormat="false" ht="15.75" hidden="false" customHeight="true" outlineLevel="0" collapsed="false">
      <c r="A17" s="3" t="s">
        <v>21</v>
      </c>
      <c r="B17" s="4"/>
    </row>
    <row r="18" customFormat="false" ht="15.75" hidden="false" customHeight="true" outlineLevel="0" collapsed="false">
      <c r="A18" s="3"/>
      <c r="B18" s="4"/>
    </row>
    <row r="19" customFormat="false" ht="15.75" hidden="false" customHeight="true" outlineLevel="0" collapsed="false">
      <c r="A19" s="6" t="s">
        <v>22</v>
      </c>
    </row>
    <row r="20" customFormat="false" ht="15.75" hidden="false" customHeight="true" outlineLevel="0" collapsed="false">
      <c r="A20" s="3" t="s">
        <v>23</v>
      </c>
      <c r="B20" s="4"/>
    </row>
    <row r="21" customFormat="false" ht="15.75" hidden="false" customHeight="true" outlineLevel="0" collapsed="false">
      <c r="A21" s="3" t="s">
        <v>24</v>
      </c>
      <c r="B21" s="4"/>
    </row>
    <row r="22" customFormat="false" ht="15.75" hidden="false" customHeight="true" outlineLevel="0" collapsed="false">
      <c r="A22" s="3" t="s">
        <v>25</v>
      </c>
      <c r="B22" s="4"/>
    </row>
    <row r="23" customFormat="false" ht="15.75" hidden="false" customHeight="true" outlineLevel="0" collapsed="false">
      <c r="A23" s="3" t="s">
        <v>26</v>
      </c>
      <c r="B23" s="4"/>
    </row>
    <row r="24" customFormat="false" ht="15.75" hidden="false" customHeight="true" outlineLevel="0" collapsed="false">
      <c r="A24" s="3" t="s">
        <v>27</v>
      </c>
      <c r="B24" s="4"/>
    </row>
    <row r="25" customFormat="false" ht="15.75" hidden="false" customHeight="true" outlineLevel="0" collapsed="false">
      <c r="A25" s="3" t="s">
        <v>28</v>
      </c>
      <c r="B25" s="4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G46" activePane="bottomRight" state="frozen"/>
      <selection pane="topLeft" activeCell="A1" activeCellId="0" sqref="A1"/>
      <selection pane="topRight" activeCell="G1" activeCellId="0" sqref="G1"/>
      <selection pane="bottomLeft" activeCell="A46" activeCellId="0" sqref="A46"/>
      <selection pane="bottomRight" activeCell="F4" activeCellId="0" sqref="F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7" min="4" style="1" width="12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9"/>
    <col collapsed="false" customWidth="true" hidden="false" outlineLevel="0" max="17" min="14" style="1" width="13"/>
  </cols>
  <sheetData>
    <row r="1" customFormat="false" ht="27.75" hidden="false" customHeight="true" outlineLevel="0" collapsed="false">
      <c r="A1" s="7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customFormat="false" ht="15.75" hidden="false" customHeight="true" outlineLevel="0" collapsed="false">
      <c r="A2" s="8" t="s">
        <v>30</v>
      </c>
      <c r="B2" s="8"/>
      <c r="C2" s="8"/>
      <c r="D2" s="8"/>
      <c r="E2" s="8"/>
      <c r="F2" s="9" t="s">
        <v>31</v>
      </c>
      <c r="G2" s="9"/>
      <c r="H2" s="9"/>
      <c r="I2" s="9"/>
      <c r="J2" s="9"/>
      <c r="K2" s="10" t="s">
        <v>32</v>
      </c>
      <c r="L2" s="10"/>
      <c r="M2" s="10"/>
      <c r="N2" s="11" t="s">
        <v>33</v>
      </c>
      <c r="O2" s="11"/>
      <c r="P2" s="11"/>
      <c r="Q2" s="11"/>
    </row>
    <row r="3" customFormat="false" ht="30" hidden="false" customHeight="true" outlineLevel="0" collapsed="false">
      <c r="A3" s="12" t="s">
        <v>34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12" t="s">
        <v>40</v>
      </c>
      <c r="H3" s="12" t="s">
        <v>41</v>
      </c>
      <c r="I3" s="12" t="s">
        <v>42</v>
      </c>
      <c r="J3" s="12" t="s">
        <v>43</v>
      </c>
      <c r="K3" s="12" t="s">
        <v>44</v>
      </c>
      <c r="L3" s="12" t="s">
        <v>45</v>
      </c>
      <c r="M3" s="12" t="s">
        <v>46</v>
      </c>
      <c r="N3" s="12" t="s">
        <v>47</v>
      </c>
      <c r="O3" s="12" t="s">
        <v>48</v>
      </c>
      <c r="P3" s="12" t="s">
        <v>49</v>
      </c>
      <c r="Q3" s="12" t="s">
        <v>50</v>
      </c>
    </row>
    <row r="4" customFormat="false" ht="16.5" hidden="false" customHeight="true" outlineLevel="0" collapsed="false">
      <c r="A4" s="13" t="s">
        <v>51</v>
      </c>
      <c r="B4" s="14" t="s">
        <v>52</v>
      </c>
      <c r="C4" s="15" t="n">
        <v>200</v>
      </c>
      <c r="D4" s="16" t="n">
        <v>233.47</v>
      </c>
      <c r="E4" s="17" t="n">
        <v>187.44</v>
      </c>
      <c r="F4" s="18" t="n">
        <v>168</v>
      </c>
      <c r="G4" s="18" t="n">
        <v>175</v>
      </c>
      <c r="H4" s="18" t="n">
        <v>210</v>
      </c>
      <c r="I4" s="18" t="n">
        <v>250</v>
      </c>
      <c r="J4" s="18" t="n">
        <v>300</v>
      </c>
      <c r="K4" s="19" t="n">
        <f aca="false">C4*D4</f>
        <v>46694</v>
      </c>
      <c r="L4" s="19" t="n">
        <f aca="false">C4*(E4-D4)</f>
        <v>-9206</v>
      </c>
      <c r="M4" s="20" t="n">
        <f aca="false">IF(D4=0,"",(E4-D4)/D4)</f>
        <v>-0.197155951514113</v>
      </c>
      <c r="N4" s="21" t="n">
        <f aca="false">IF(G4="","",C4*(G4-D4))</f>
        <v>-11694</v>
      </c>
      <c r="O4" s="21" t="n">
        <f aca="false">IF(H4="","",C4*(H4-D4))</f>
        <v>-4694</v>
      </c>
      <c r="P4" s="21" t="n">
        <f aca="false">IF(I4="","",C4*(I4-D4))</f>
        <v>3306</v>
      </c>
      <c r="Q4" s="21" t="n">
        <f aca="false">IF(J4="","",C4*(J4-D4))</f>
        <v>13306</v>
      </c>
    </row>
    <row r="5" customFormat="false" ht="16.5" hidden="false" customHeight="true" outlineLevel="0" collapsed="false">
      <c r="A5" s="22" t="s">
        <v>53</v>
      </c>
      <c r="B5" s="23" t="s">
        <v>54</v>
      </c>
      <c r="C5" s="24" t="n">
        <v>100</v>
      </c>
      <c r="D5" s="25" t="n">
        <v>1808.41</v>
      </c>
      <c r="E5" s="17" t="n">
        <v>1183</v>
      </c>
      <c r="F5" s="26"/>
      <c r="G5" s="26"/>
      <c r="H5" s="26"/>
      <c r="I5" s="26"/>
      <c r="J5" s="26"/>
      <c r="K5" s="19" t="n">
        <f aca="false">C5*D5</f>
        <v>180841</v>
      </c>
      <c r="L5" s="19" t="n">
        <f aca="false">C5*(E5-D5)</f>
        <v>-62541</v>
      </c>
      <c r="M5" s="20" t="n">
        <f aca="false">IF(D5=0,"",(E5-D5)/D5)</f>
        <v>-0.345834185831753</v>
      </c>
      <c r="N5" s="27" t="str">
        <f aca="false">IF(G5="","",C5*(G5-D5))</f>
        <v/>
      </c>
      <c r="O5" s="27" t="str">
        <f aca="false">IF(H5="","",C5*(H5-D5))</f>
        <v/>
      </c>
      <c r="P5" s="27" t="str">
        <f aca="false">IF(I5="","",C5*(I5-D5))</f>
        <v/>
      </c>
      <c r="Q5" s="27" t="str">
        <f aca="false">IF(J5="","",C5*(J5-D5))</f>
        <v/>
      </c>
    </row>
    <row r="6" customFormat="false" ht="16.5" hidden="false" customHeight="true" outlineLevel="0" collapsed="false">
      <c r="A6" s="13" t="s">
        <v>55</v>
      </c>
      <c r="B6" s="14" t="s">
        <v>56</v>
      </c>
      <c r="C6" s="15" t="n">
        <v>400</v>
      </c>
      <c r="D6" s="16" t="n">
        <v>3242.12</v>
      </c>
      <c r="E6" s="17" t="n">
        <v>2880.8</v>
      </c>
      <c r="F6" s="18" t="n">
        <v>2658</v>
      </c>
      <c r="G6" s="18" t="n">
        <v>2778</v>
      </c>
      <c r="H6" s="18" t="n">
        <v>3030</v>
      </c>
      <c r="I6" s="18" t="n">
        <v>3500</v>
      </c>
      <c r="J6" s="18" t="n">
        <v>3915</v>
      </c>
      <c r="K6" s="19" t="n">
        <f aca="false">C6*D6</f>
        <v>1296848</v>
      </c>
      <c r="L6" s="19" t="n">
        <f aca="false">C6*(E6-D6)</f>
        <v>-144528</v>
      </c>
      <c r="M6" s="20" t="n">
        <f aca="false">IF(D6=0,"",(E6-D6)/D6)</f>
        <v>-0.111445597325207</v>
      </c>
      <c r="N6" s="21" t="n">
        <f aca="false">IF(G6="","",C6*(G6-D6))</f>
        <v>-185648</v>
      </c>
      <c r="O6" s="21" t="n">
        <f aca="false">IF(H6="","",C6*(H6-D6))</f>
        <v>-84848</v>
      </c>
      <c r="P6" s="21" t="n">
        <f aca="false">IF(I6="","",C6*(I6-D6))</f>
        <v>103152</v>
      </c>
      <c r="Q6" s="21" t="n">
        <f aca="false">IF(J6="","",C6*(J6-D6))</f>
        <v>269152</v>
      </c>
    </row>
    <row r="7" customFormat="false" ht="16.5" hidden="false" customHeight="true" outlineLevel="0" collapsed="false">
      <c r="A7" s="22" t="s">
        <v>57</v>
      </c>
      <c r="B7" s="23" t="s">
        <v>58</v>
      </c>
      <c r="C7" s="24" t="n">
        <v>1000</v>
      </c>
      <c r="D7" s="25" t="n">
        <v>214.73</v>
      </c>
      <c r="E7" s="17" t="n">
        <v>149.96</v>
      </c>
      <c r="F7" s="26"/>
      <c r="G7" s="26"/>
      <c r="H7" s="26"/>
      <c r="I7" s="26"/>
      <c r="J7" s="26"/>
      <c r="K7" s="19" t="n">
        <f aca="false">C7*D7</f>
        <v>214730</v>
      </c>
      <c r="L7" s="19" t="n">
        <f aca="false">C7*(E7-D7)</f>
        <v>-64770</v>
      </c>
      <c r="M7" s="20" t="n">
        <f aca="false">IF(D7=0,"",(E7-D7)/D7)</f>
        <v>-0.30163461090672</v>
      </c>
      <c r="N7" s="27" t="str">
        <f aca="false">IF(G7="","",C7*(G7-D7))</f>
        <v/>
      </c>
      <c r="O7" s="27" t="str">
        <f aca="false">IF(H7="","",C7*(H7-D7))</f>
        <v/>
      </c>
      <c r="P7" s="27" t="str">
        <f aca="false">IF(I7="","",C7*(I7-D7))</f>
        <v/>
      </c>
      <c r="Q7" s="27" t="str">
        <f aca="false">IF(J7="","",C7*(J7-D7))</f>
        <v/>
      </c>
    </row>
    <row r="8" customFormat="false" ht="16.5" hidden="false" customHeight="true" outlineLevel="0" collapsed="false">
      <c r="A8" s="13" t="s">
        <v>59</v>
      </c>
      <c r="B8" s="14" t="s">
        <v>60</v>
      </c>
      <c r="C8" s="15" t="n">
        <v>70</v>
      </c>
      <c r="D8" s="16" t="n">
        <v>648.23</v>
      </c>
      <c r="E8" s="17" t="n">
        <v>648.75</v>
      </c>
      <c r="F8" s="26"/>
      <c r="G8" s="26"/>
      <c r="H8" s="26"/>
      <c r="I8" s="26"/>
      <c r="J8" s="26"/>
      <c r="K8" s="19" t="n">
        <f aca="false">C8*D8</f>
        <v>45376.1</v>
      </c>
      <c r="L8" s="19" t="n">
        <f aca="false">C8*(E8-D8)</f>
        <v>36.3999999999987</v>
      </c>
      <c r="M8" s="20" t="n">
        <f aca="false">IF(D8=0,"",(E8-D8)/D8)</f>
        <v>0.000802184409854499</v>
      </c>
      <c r="N8" s="21" t="str">
        <f aca="false">IF(G8="","",C8*(G8-D8))</f>
        <v/>
      </c>
      <c r="O8" s="21" t="str">
        <f aca="false">IF(H8="","",C8*(H8-D8))</f>
        <v/>
      </c>
      <c r="P8" s="21" t="str">
        <f aca="false">IF(I8="","",C8*(I8-D8))</f>
        <v/>
      </c>
      <c r="Q8" s="21" t="str">
        <f aca="false">IF(J8="","",C8*(J8-D8))</f>
        <v/>
      </c>
    </row>
    <row r="9" customFormat="false" ht="16.5" hidden="false" customHeight="true" outlineLevel="0" collapsed="false">
      <c r="A9" s="22" t="s">
        <v>61</v>
      </c>
      <c r="B9" s="23" t="s">
        <v>62</v>
      </c>
      <c r="C9" s="24" t="n">
        <v>3</v>
      </c>
      <c r="D9" s="25" t="n">
        <v>9433.96</v>
      </c>
      <c r="E9" s="17" t="n">
        <v>9260</v>
      </c>
      <c r="F9" s="26"/>
      <c r="G9" s="26"/>
      <c r="H9" s="26"/>
      <c r="I9" s="26"/>
      <c r="J9" s="26"/>
      <c r="K9" s="19" t="n">
        <f aca="false">C9*D9</f>
        <v>28301.88</v>
      </c>
      <c r="L9" s="19" t="n">
        <f aca="false">C9*(E9-D9)</f>
        <v>-521.879999999997</v>
      </c>
      <c r="M9" s="20" t="n">
        <f aca="false">IF(D9=0,"",(E9-D9)/D9)</f>
        <v>-0.0184397644255434</v>
      </c>
      <c r="N9" s="27" t="str">
        <f aca="false">IF(G9="","",C9*(G9-D9))</f>
        <v/>
      </c>
      <c r="O9" s="27" t="str">
        <f aca="false">IF(H9="","",C9*(H9-D9))</f>
        <v/>
      </c>
      <c r="P9" s="27" t="str">
        <f aca="false">IF(I9="","",C9*(I9-D9))</f>
        <v/>
      </c>
      <c r="Q9" s="27" t="str">
        <f aca="false">IF(J9="","",C9*(J9-D9))</f>
        <v/>
      </c>
    </row>
    <row r="10" customFormat="false" ht="16.5" hidden="false" customHeight="true" outlineLevel="0" collapsed="false">
      <c r="A10" s="13" t="s">
        <v>63</v>
      </c>
      <c r="B10" s="14" t="s">
        <v>64</v>
      </c>
      <c r="C10" s="15" t="n">
        <v>30</v>
      </c>
      <c r="D10" s="16" t="n">
        <v>368.44</v>
      </c>
      <c r="E10" s="17" t="n">
        <v>345.75</v>
      </c>
      <c r="F10" s="26"/>
      <c r="G10" s="26"/>
      <c r="H10" s="26"/>
      <c r="I10" s="26"/>
      <c r="J10" s="26"/>
      <c r="K10" s="19" t="n">
        <f aca="false">C10*D10</f>
        <v>11053.2</v>
      </c>
      <c r="L10" s="19" t="n">
        <f aca="false">C10*(E10-D10)</f>
        <v>-680.7</v>
      </c>
      <c r="M10" s="20" t="n">
        <f aca="false">IF(D10=0,"",(E10-D10)/D10)</f>
        <v>-0.0615839756812507</v>
      </c>
      <c r="N10" s="21" t="str">
        <f aca="false">IF(G10="","",C10*(G10-D10))</f>
        <v/>
      </c>
      <c r="O10" s="21" t="str">
        <f aca="false">IF(H10="","",C10*(H10-D10))</f>
        <v/>
      </c>
      <c r="P10" s="21" t="str">
        <f aca="false">IF(I10="","",C10*(I10-D10))</f>
        <v/>
      </c>
      <c r="Q10" s="21" t="str">
        <f aca="false">IF(J10="","",C10*(J10-D10))</f>
        <v/>
      </c>
    </row>
    <row r="11" customFormat="false" ht="16.5" hidden="false" customHeight="true" outlineLevel="0" collapsed="false">
      <c r="A11" s="22" t="s">
        <v>65</v>
      </c>
      <c r="B11" s="23" t="s">
        <v>66</v>
      </c>
      <c r="C11" s="24" t="n">
        <v>100</v>
      </c>
      <c r="D11" s="25" t="n">
        <v>417.84</v>
      </c>
      <c r="E11" s="17" t="n">
        <v>369.55</v>
      </c>
      <c r="F11" s="26"/>
      <c r="G11" s="26"/>
      <c r="H11" s="26"/>
      <c r="I11" s="26"/>
      <c r="J11" s="26"/>
      <c r="K11" s="19" t="n">
        <f aca="false">C11*D11</f>
        <v>41784</v>
      </c>
      <c r="L11" s="19" t="n">
        <f aca="false">C11*(E11-D11)</f>
        <v>-4829</v>
      </c>
      <c r="M11" s="20" t="n">
        <f aca="false">IF(D11=0,"",(E11-D11)/D11)</f>
        <v>-0.115570553321846</v>
      </c>
      <c r="N11" s="27" t="str">
        <f aca="false">IF(G11="","",C11*(G11-D11))</f>
        <v/>
      </c>
      <c r="O11" s="27" t="str">
        <f aca="false">IF(H11="","",C11*(H11-D11))</f>
        <v/>
      </c>
      <c r="P11" s="27" t="str">
        <f aca="false">IF(I11="","",C11*(I11-D11))</f>
        <v/>
      </c>
      <c r="Q11" s="27" t="str">
        <f aca="false">IF(J11="","",C11*(J11-D11))</f>
        <v/>
      </c>
    </row>
    <row r="12" customFormat="false" ht="16.5" hidden="false" customHeight="true" outlineLevel="0" collapsed="false">
      <c r="A12" s="13" t="s">
        <v>67</v>
      </c>
      <c r="B12" s="14" t="s">
        <v>68</v>
      </c>
      <c r="C12" s="15" t="n">
        <v>100</v>
      </c>
      <c r="D12" s="16" t="n">
        <v>893.05</v>
      </c>
      <c r="E12" s="17" t="n">
        <v>986.7</v>
      </c>
      <c r="F12" s="26"/>
      <c r="G12" s="26"/>
      <c r="H12" s="26"/>
      <c r="I12" s="26"/>
      <c r="J12" s="26"/>
      <c r="K12" s="19" t="n">
        <f aca="false">C12*D12</f>
        <v>89305</v>
      </c>
      <c r="L12" s="19" t="n">
        <f aca="false">C12*(E12-D12)</f>
        <v>9365.00000000001</v>
      </c>
      <c r="M12" s="20" t="n">
        <f aca="false">IF(D12=0,"",(E12-D12)/D12)</f>
        <v>0.104865349084598</v>
      </c>
      <c r="N12" s="21" t="str">
        <f aca="false">IF(G12="","",C12*(G12-D12))</f>
        <v/>
      </c>
      <c r="O12" s="21" t="str">
        <f aca="false">IF(H12="","",C12*(H12-D12))</f>
        <v/>
      </c>
      <c r="P12" s="21" t="str">
        <f aca="false">IF(I12="","",C12*(I12-D12))</f>
        <v/>
      </c>
      <c r="Q12" s="21" t="str">
        <f aca="false">IF(J12="","",C12*(J12-D12))</f>
        <v/>
      </c>
    </row>
    <row r="13" customFormat="false" ht="16.5" hidden="false" customHeight="true" outlineLevel="0" collapsed="false">
      <c r="A13" s="22" t="s">
        <v>69</v>
      </c>
      <c r="B13" s="23" t="s">
        <v>70</v>
      </c>
      <c r="C13" s="24" t="n">
        <v>200</v>
      </c>
      <c r="D13" s="25" t="n">
        <v>145.74</v>
      </c>
      <c r="E13" s="17" t="n">
        <v>161.11</v>
      </c>
      <c r="F13" s="26"/>
      <c r="G13" s="26"/>
      <c r="H13" s="26"/>
      <c r="I13" s="26"/>
      <c r="J13" s="26"/>
      <c r="K13" s="19" t="n">
        <f aca="false">C13*D13</f>
        <v>29148</v>
      </c>
      <c r="L13" s="19" t="n">
        <f aca="false">C13*(E13-D13)</f>
        <v>3074</v>
      </c>
      <c r="M13" s="20" t="n">
        <f aca="false">IF(D13=0,"",(E13-D13)/D13)</f>
        <v>0.105461781254288</v>
      </c>
      <c r="N13" s="27" t="str">
        <f aca="false">IF(G13="","",C13*(G13-D13))</f>
        <v/>
      </c>
      <c r="O13" s="27" t="str">
        <f aca="false">IF(H13="","",C13*(H13-D13))</f>
        <v/>
      </c>
      <c r="P13" s="27" t="str">
        <f aca="false">IF(I13="","",C13*(I13-D13))</f>
        <v/>
      </c>
      <c r="Q13" s="27" t="str">
        <f aca="false">IF(J13="","",C13*(J13-D13))</f>
        <v/>
      </c>
    </row>
    <row r="14" customFormat="false" ht="16.5" hidden="false" customHeight="true" outlineLevel="0" collapsed="false">
      <c r="A14" s="13" t="s">
        <v>71</v>
      </c>
      <c r="B14" s="14" t="s">
        <v>72</v>
      </c>
      <c r="C14" s="15" t="n">
        <v>300</v>
      </c>
      <c r="D14" s="16" t="n">
        <v>181.85</v>
      </c>
      <c r="E14" s="17" t="n">
        <v>164.03</v>
      </c>
      <c r="F14" s="26"/>
      <c r="G14" s="26"/>
      <c r="H14" s="26"/>
      <c r="I14" s="26"/>
      <c r="J14" s="26"/>
      <c r="K14" s="19" t="n">
        <f aca="false">C14*D14</f>
        <v>54555</v>
      </c>
      <c r="L14" s="19" t="n">
        <f aca="false">C14*(E14-D14)</f>
        <v>-5346</v>
      </c>
      <c r="M14" s="20" t="n">
        <f aca="false">IF(D14=0,"",(E14-D14)/D14)</f>
        <v>-0.097992851251031</v>
      </c>
      <c r="N14" s="21" t="str">
        <f aca="false">IF(G14="","",C14*(G14-D14))</f>
        <v/>
      </c>
      <c r="O14" s="21" t="str">
        <f aca="false">IF(H14="","",C14*(H14-D14))</f>
        <v/>
      </c>
      <c r="P14" s="21" t="str">
        <f aca="false">IF(I14="","",C14*(I14-D14))</f>
        <v/>
      </c>
      <c r="Q14" s="21" t="str">
        <f aca="false">IF(J14="","",C14*(J14-D14))</f>
        <v/>
      </c>
    </row>
    <row r="15" customFormat="false" ht="16.5" hidden="false" customHeight="true" outlineLevel="0" collapsed="false">
      <c r="A15" s="22" t="s">
        <v>73</v>
      </c>
      <c r="B15" s="23" t="s">
        <v>74</v>
      </c>
      <c r="C15" s="24" t="n">
        <v>400</v>
      </c>
      <c r="D15" s="25" t="n">
        <v>1076.63</v>
      </c>
      <c r="E15" s="17" t="n">
        <v>906.7</v>
      </c>
      <c r="F15" s="18" t="n">
        <v>850</v>
      </c>
      <c r="G15" s="18" t="n">
        <v>950</v>
      </c>
      <c r="H15" s="18" t="n">
        <v>1048</v>
      </c>
      <c r="I15" s="18" t="n">
        <v>1082</v>
      </c>
      <c r="J15" s="18" t="n">
        <v>1103</v>
      </c>
      <c r="K15" s="19" t="n">
        <f aca="false">C15*D15</f>
        <v>430652</v>
      </c>
      <c r="L15" s="19" t="n">
        <f aca="false">C15*(E15-D15)</f>
        <v>-67972</v>
      </c>
      <c r="M15" s="20" t="n">
        <f aca="false">IF(D15=0,"",(E15-D15)/D15)</f>
        <v>-0.157835096551276</v>
      </c>
      <c r="N15" s="27" t="n">
        <f aca="false">IF(G15="","",C15*(G15-D15))</f>
        <v>-50652</v>
      </c>
      <c r="O15" s="27" t="n">
        <f aca="false">IF(H15="","",C15*(H15-D15))</f>
        <v>-11452</v>
      </c>
      <c r="P15" s="27" t="n">
        <f aca="false">IF(I15="","",C15*(I15-D15))</f>
        <v>2147.99999999996</v>
      </c>
      <c r="Q15" s="27" t="n">
        <f aca="false">IF(J15="","",C15*(J15-D15))</f>
        <v>10548</v>
      </c>
    </row>
    <row r="16" customFormat="false" ht="16.5" hidden="false" customHeight="true" outlineLevel="0" collapsed="false">
      <c r="A16" s="13" t="s">
        <v>75</v>
      </c>
      <c r="B16" s="14" t="s">
        <v>76</v>
      </c>
      <c r="C16" s="15" t="n">
        <v>500</v>
      </c>
      <c r="D16" s="16" t="n">
        <v>231.46</v>
      </c>
      <c r="E16" s="17" t="n">
        <v>228.11</v>
      </c>
      <c r="F16" s="26"/>
      <c r="G16" s="26"/>
      <c r="H16" s="26"/>
      <c r="I16" s="26"/>
      <c r="J16" s="26"/>
      <c r="K16" s="19" t="n">
        <f aca="false">C16*D16</f>
        <v>115730</v>
      </c>
      <c r="L16" s="19" t="n">
        <f aca="false">C16*(E16-D16)</f>
        <v>-1675</v>
      </c>
      <c r="M16" s="20" t="n">
        <f aca="false">IF(D16=0,"",(E16-D16)/D16)</f>
        <v>-0.0144733431262421</v>
      </c>
      <c r="N16" s="21" t="str">
        <f aca="false">IF(G16="","",C16*(G16-D16))</f>
        <v/>
      </c>
      <c r="O16" s="21" t="str">
        <f aca="false">IF(H16="","",C16*(H16-D16))</f>
        <v/>
      </c>
      <c r="P16" s="21" t="str">
        <f aca="false">IF(I16="","",C16*(I16-D16))</f>
        <v/>
      </c>
      <c r="Q16" s="21" t="str">
        <f aca="false">IF(J16="","",C16*(J16-D16))</f>
        <v/>
      </c>
    </row>
    <row r="17" customFormat="false" ht="16.5" hidden="false" customHeight="true" outlineLevel="0" collapsed="false">
      <c r="A17" s="22" t="s">
        <v>77</v>
      </c>
      <c r="B17" s="23" t="s">
        <v>78</v>
      </c>
      <c r="C17" s="24" t="n">
        <v>1000</v>
      </c>
      <c r="D17" s="25" t="n">
        <v>9.85</v>
      </c>
      <c r="E17" s="17" t="n">
        <v>2.92</v>
      </c>
      <c r="F17" s="26"/>
      <c r="G17" s="26"/>
      <c r="H17" s="26"/>
      <c r="I17" s="26"/>
      <c r="J17" s="26"/>
      <c r="K17" s="19" t="n">
        <f aca="false">C17*D17</f>
        <v>9850</v>
      </c>
      <c r="L17" s="19" t="n">
        <f aca="false">C17*(E17-D17)</f>
        <v>-6930</v>
      </c>
      <c r="M17" s="20" t="n">
        <f aca="false">IF(D17=0,"",(E17-D17)/D17)</f>
        <v>-0.703553299492386</v>
      </c>
      <c r="N17" s="27" t="str">
        <f aca="false">IF(G17="","",C17*(G17-D17))</f>
        <v/>
      </c>
      <c r="O17" s="27" t="str">
        <f aca="false">IF(H17="","",C17*(H17-D17))</f>
        <v/>
      </c>
      <c r="P17" s="27" t="str">
        <f aca="false">IF(I17="","",C17*(I17-D17))</f>
        <v/>
      </c>
      <c r="Q17" s="27" t="str">
        <f aca="false">IF(J17="","",C17*(J17-D17))</f>
        <v/>
      </c>
    </row>
    <row r="18" customFormat="false" ht="16.5" hidden="false" customHeight="true" outlineLevel="0" collapsed="false">
      <c r="A18" s="13" t="s">
        <v>79</v>
      </c>
      <c r="B18" s="14" t="s">
        <v>80</v>
      </c>
      <c r="C18" s="15" t="n">
        <v>700</v>
      </c>
      <c r="D18" s="16" t="n">
        <v>108.83</v>
      </c>
      <c r="E18" s="17" t="n">
        <v>88.92</v>
      </c>
      <c r="F18" s="26"/>
      <c r="G18" s="26"/>
      <c r="H18" s="26"/>
      <c r="I18" s="26"/>
      <c r="J18" s="26"/>
      <c r="K18" s="19" t="n">
        <f aca="false">C18*D18</f>
        <v>76181</v>
      </c>
      <c r="L18" s="19" t="n">
        <f aca="false">C18*(E18-D18)</f>
        <v>-13937</v>
      </c>
      <c r="M18" s="20" t="n">
        <f aca="false">IF(D18=0,"",(E18-D18)/D18)</f>
        <v>-0.182945878893687</v>
      </c>
      <c r="N18" s="21" t="str">
        <f aca="false">IF(G18="","",C18*(G18-D18))</f>
        <v/>
      </c>
      <c r="O18" s="21" t="str">
        <f aca="false">IF(H18="","",C18*(H18-D18))</f>
        <v/>
      </c>
      <c r="P18" s="21" t="str">
        <f aca="false">IF(I18="","",C18*(I18-D18))</f>
        <v/>
      </c>
      <c r="Q18" s="21" t="str">
        <f aca="false">IF(J18="","",C18*(J18-D18))</f>
        <v/>
      </c>
    </row>
    <row r="19" customFormat="false" ht="16.5" hidden="false" customHeight="true" outlineLevel="0" collapsed="false">
      <c r="A19" s="22" t="s">
        <v>81</v>
      </c>
      <c r="B19" s="23" t="s">
        <v>82</v>
      </c>
      <c r="C19" s="24" t="n">
        <v>250</v>
      </c>
      <c r="D19" s="25" t="n">
        <v>989.42</v>
      </c>
      <c r="E19" s="17" t="n">
        <v>962.2</v>
      </c>
      <c r="F19" s="18" t="n">
        <v>538</v>
      </c>
      <c r="G19" s="18" t="n">
        <v>723</v>
      </c>
      <c r="H19" s="18" t="n">
        <v>774</v>
      </c>
      <c r="I19" s="18" t="n">
        <v>954</v>
      </c>
      <c r="J19" s="18" t="n">
        <v>1135</v>
      </c>
      <c r="K19" s="19" t="n">
        <f aca="false">C19*D19</f>
        <v>247355</v>
      </c>
      <c r="L19" s="19" t="n">
        <f aca="false">C19*(E19-D19)</f>
        <v>-6804.99999999998</v>
      </c>
      <c r="M19" s="20" t="n">
        <f aca="false">IF(D19=0,"",(E19-D19)/D19)</f>
        <v>-0.0275110670898101</v>
      </c>
      <c r="N19" s="27" t="n">
        <f aca="false">IF(G19="","",C19*(G19-D19))</f>
        <v>-66605</v>
      </c>
      <c r="O19" s="27" t="n">
        <f aca="false">IF(H19="","",C19*(H19-D19))</f>
        <v>-53855</v>
      </c>
      <c r="P19" s="27" t="n">
        <f aca="false">IF(I19="","",C19*(I19-D19))</f>
        <v>-8854.99999999999</v>
      </c>
      <c r="Q19" s="27" t="n">
        <f aca="false">IF(J19="","",C19*(J19-D19))</f>
        <v>36395</v>
      </c>
    </row>
    <row r="20" customFormat="false" ht="16.5" hidden="false" customHeight="true" outlineLevel="0" collapsed="false">
      <c r="A20" s="13" t="s">
        <v>83</v>
      </c>
      <c r="B20" s="14" t="s">
        <v>84</v>
      </c>
      <c r="C20" s="15" t="n">
        <v>2125</v>
      </c>
      <c r="D20" s="16" t="n">
        <v>4.73</v>
      </c>
      <c r="E20" s="17" t="n">
        <v>3.14</v>
      </c>
      <c r="F20" s="26"/>
      <c r="G20" s="26"/>
      <c r="H20" s="26"/>
      <c r="I20" s="26"/>
      <c r="J20" s="26"/>
      <c r="K20" s="19" t="n">
        <f aca="false">C20*D20</f>
        <v>10051.25</v>
      </c>
      <c r="L20" s="19" t="n">
        <f aca="false">C20*(E20-D20)</f>
        <v>-3378.75</v>
      </c>
      <c r="M20" s="20" t="n">
        <f aca="false">IF(D20=0,"",(E20-D20)/D20)</f>
        <v>-0.33615221987315</v>
      </c>
      <c r="N20" s="21" t="str">
        <f aca="false">IF(G20="","",C20*(G20-D20))</f>
        <v/>
      </c>
      <c r="O20" s="21" t="str">
        <f aca="false">IF(H20="","",C20*(H20-D20))</f>
        <v/>
      </c>
      <c r="P20" s="21" t="str">
        <f aca="false">IF(I20="","",C20*(I20-D20))</f>
        <v/>
      </c>
      <c r="Q20" s="21" t="str">
        <f aca="false">IF(J20="","",C20*(J20-D20))</f>
        <v/>
      </c>
    </row>
    <row r="21" customFormat="false" ht="16.5" hidden="false" customHeight="true" outlineLevel="0" collapsed="false">
      <c r="A21" s="22" t="s">
        <v>85</v>
      </c>
      <c r="B21" s="23" t="s">
        <v>86</v>
      </c>
      <c r="C21" s="24" t="n">
        <v>300</v>
      </c>
      <c r="D21" s="25" t="n">
        <v>125.73</v>
      </c>
      <c r="E21" s="17" t="n">
        <v>108.65</v>
      </c>
      <c r="F21" s="26"/>
      <c r="G21" s="26"/>
      <c r="H21" s="26"/>
      <c r="I21" s="26"/>
      <c r="J21" s="26"/>
      <c r="K21" s="19" t="n">
        <f aca="false">C21*D21</f>
        <v>37719</v>
      </c>
      <c r="L21" s="19" t="n">
        <f aca="false">C21*(E21-D21)</f>
        <v>-5124</v>
      </c>
      <c r="M21" s="20" t="n">
        <f aca="false">IF(D21=0,"",(E21-D21)/D21)</f>
        <v>-0.135846655531695</v>
      </c>
      <c r="N21" s="27" t="str">
        <f aca="false">IF(G21="","",C21*(G21-D21))</f>
        <v/>
      </c>
      <c r="O21" s="27" t="str">
        <f aca="false">IF(H21="","",C21*(H21-D21))</f>
        <v/>
      </c>
      <c r="P21" s="27" t="str">
        <f aca="false">IF(I21="","",C21*(I21-D21))</f>
        <v/>
      </c>
      <c r="Q21" s="27" t="str">
        <f aca="false">IF(J21="","",C21*(J21-D21))</f>
        <v/>
      </c>
    </row>
    <row r="22" customFormat="false" ht="16.5" hidden="false" customHeight="true" outlineLevel="0" collapsed="false">
      <c r="A22" s="13" t="s">
        <v>87</v>
      </c>
      <c r="B22" s="14" t="s">
        <v>88</v>
      </c>
      <c r="C22" s="15" t="n">
        <v>500</v>
      </c>
      <c r="D22" s="16" t="n">
        <v>23.79</v>
      </c>
      <c r="E22" s="17" t="n">
        <v>15.3</v>
      </c>
      <c r="F22" s="26"/>
      <c r="G22" s="26"/>
      <c r="H22" s="26"/>
      <c r="I22" s="26"/>
      <c r="J22" s="26"/>
      <c r="K22" s="19" t="n">
        <f aca="false">C22*D22</f>
        <v>11895</v>
      </c>
      <c r="L22" s="19" t="n">
        <f aca="false">C22*(E22-D22)</f>
        <v>-4245</v>
      </c>
      <c r="M22" s="20" t="n">
        <f aca="false">IF(D22=0,"",(E22-D22)/D22)</f>
        <v>-0.35687263556116</v>
      </c>
      <c r="N22" s="21" t="str">
        <f aca="false">IF(G22="","",C22*(G22-D22))</f>
        <v/>
      </c>
      <c r="O22" s="21" t="str">
        <f aca="false">IF(H22="","",C22*(H22-D22))</f>
        <v/>
      </c>
      <c r="P22" s="21" t="str">
        <f aca="false">IF(I22="","",C22*(I22-D22))</f>
        <v/>
      </c>
      <c r="Q22" s="21" t="str">
        <f aca="false">IF(J22="","",C22*(J22-D22))</f>
        <v/>
      </c>
    </row>
    <row r="23" customFormat="false" ht="16.5" hidden="false" customHeight="true" outlineLevel="0" collapsed="false">
      <c r="A23" s="22" t="s">
        <v>89</v>
      </c>
      <c r="B23" s="23" t="s">
        <v>90</v>
      </c>
      <c r="C23" s="24" t="n">
        <v>150</v>
      </c>
      <c r="D23" s="25" t="n">
        <v>320.94</v>
      </c>
      <c r="E23" s="17" t="n">
        <v>160.03</v>
      </c>
      <c r="F23" s="26"/>
      <c r="G23" s="26"/>
      <c r="H23" s="26"/>
      <c r="I23" s="26"/>
      <c r="J23" s="26"/>
      <c r="K23" s="19" t="n">
        <f aca="false">C23*D23</f>
        <v>48141</v>
      </c>
      <c r="L23" s="19" t="n">
        <f aca="false">C23*(E23-D23)</f>
        <v>-24136.5</v>
      </c>
      <c r="M23" s="20" t="n">
        <f aca="false">IF(D23=0,"",(E23-D23)/D23)</f>
        <v>-0.501370972767495</v>
      </c>
      <c r="N23" s="27" t="str">
        <f aca="false">IF(G23="","",C23*(G23-D23))</f>
        <v/>
      </c>
      <c r="O23" s="27" t="str">
        <f aca="false">IF(H23="","",C23*(H23-D23))</f>
        <v/>
      </c>
      <c r="P23" s="27" t="str">
        <f aca="false">IF(I23="","",C23*(I23-D23))</f>
        <v/>
      </c>
      <c r="Q23" s="27" t="str">
        <f aca="false">IF(J23="","",C23*(J23-D23))</f>
        <v/>
      </c>
    </row>
    <row r="24" customFormat="false" ht="16.5" hidden="false" customHeight="true" outlineLevel="0" collapsed="false">
      <c r="A24" s="13" t="s">
        <v>91</v>
      </c>
      <c r="B24" s="14" t="s">
        <v>92</v>
      </c>
      <c r="C24" s="15" t="n">
        <v>1500</v>
      </c>
      <c r="D24" s="16" t="n">
        <v>192.95</v>
      </c>
      <c r="E24" s="17" t="n">
        <v>168.8</v>
      </c>
      <c r="F24" s="26"/>
      <c r="G24" s="26"/>
      <c r="H24" s="26"/>
      <c r="I24" s="26"/>
      <c r="J24" s="26"/>
      <c r="K24" s="19" t="n">
        <f aca="false">C24*D24</f>
        <v>289425</v>
      </c>
      <c r="L24" s="19" t="n">
        <f aca="false">C24*(E24-D24)</f>
        <v>-36225</v>
      </c>
      <c r="M24" s="20" t="n">
        <f aca="false">IF(D24=0,"",(E24-D24)/D24)</f>
        <v>-0.12516195905675</v>
      </c>
      <c r="N24" s="21" t="str">
        <f aca="false">IF(G24="","",C24*(G24-D24))</f>
        <v/>
      </c>
      <c r="O24" s="21" t="str">
        <f aca="false">IF(H24="","",C24*(H24-D24))</f>
        <v/>
      </c>
      <c r="P24" s="21" t="str">
        <f aca="false">IF(I24="","",C24*(I24-D24))</f>
        <v/>
      </c>
      <c r="Q24" s="21" t="str">
        <f aca="false">IF(J24="","",C24*(J24-D24))</f>
        <v/>
      </c>
    </row>
    <row r="25" customFormat="false" ht="16.5" hidden="false" customHeight="true" outlineLevel="0" collapsed="false">
      <c r="A25" s="22" t="s">
        <v>93</v>
      </c>
      <c r="B25" s="23" t="s">
        <v>94</v>
      </c>
      <c r="C25" s="24" t="n">
        <v>100</v>
      </c>
      <c r="D25" s="25" t="n">
        <v>126.23</v>
      </c>
      <c r="E25" s="17" t="n">
        <v>110.58</v>
      </c>
      <c r="F25" s="26"/>
      <c r="G25" s="26"/>
      <c r="H25" s="26"/>
      <c r="I25" s="26"/>
      <c r="J25" s="26"/>
      <c r="K25" s="19" t="n">
        <f aca="false">C25*D25</f>
        <v>12623</v>
      </c>
      <c r="L25" s="19" t="n">
        <f aca="false">C25*(E25-D25)</f>
        <v>-1565</v>
      </c>
      <c r="M25" s="20" t="n">
        <f aca="false">IF(D25=0,"",(E25-D25)/D25)</f>
        <v>-0.123980036441417</v>
      </c>
      <c r="N25" s="27" t="str">
        <f aca="false">IF(G25="","",C25*(G25-D25))</f>
        <v/>
      </c>
      <c r="O25" s="27" t="str">
        <f aca="false">IF(H25="","",C25*(H25-D25))</f>
        <v/>
      </c>
      <c r="P25" s="27" t="str">
        <f aca="false">IF(I25="","",C25*(I25-D25))</f>
        <v/>
      </c>
      <c r="Q25" s="27" t="str">
        <f aca="false">IF(J25="","",C25*(J25-D25))</f>
        <v/>
      </c>
    </row>
    <row r="26" customFormat="false" ht="16.5" hidden="false" customHeight="true" outlineLevel="0" collapsed="false">
      <c r="A26" s="13" t="s">
        <v>95</v>
      </c>
      <c r="B26" s="14" t="s">
        <v>96</v>
      </c>
      <c r="C26" s="15" t="n">
        <v>6000</v>
      </c>
      <c r="D26" s="16" t="n">
        <v>132.43</v>
      </c>
      <c r="E26" s="17" t="n">
        <v>106.71</v>
      </c>
      <c r="F26" s="26"/>
      <c r="G26" s="26"/>
      <c r="H26" s="26"/>
      <c r="I26" s="26"/>
      <c r="J26" s="26"/>
      <c r="K26" s="19" t="n">
        <f aca="false">C26*D26</f>
        <v>794580</v>
      </c>
      <c r="L26" s="19" t="n">
        <f aca="false">C26*(E26-D26)</f>
        <v>-154320</v>
      </c>
      <c r="M26" s="20" t="n">
        <f aca="false">IF(D26=0,"",(E26-D26)/D26)</f>
        <v>-0.194215812127162</v>
      </c>
      <c r="N26" s="21" t="str">
        <f aca="false">IF(G26="","",C26*(G26-D26))</f>
        <v/>
      </c>
      <c r="O26" s="21" t="str">
        <f aca="false">IF(H26="","",C26*(H26-D26))</f>
        <v/>
      </c>
      <c r="P26" s="21" t="str">
        <f aca="false">IF(I26="","",C26*(I26-D26))</f>
        <v/>
      </c>
      <c r="Q26" s="21" t="str">
        <f aca="false">IF(J26="","",C26*(J26-D26))</f>
        <v/>
      </c>
    </row>
    <row r="27" customFormat="false" ht="16.5" hidden="false" customHeight="true" outlineLevel="0" collapsed="false">
      <c r="A27" s="22" t="s">
        <v>97</v>
      </c>
      <c r="B27" s="23" t="s">
        <v>98</v>
      </c>
      <c r="C27" s="24" t="n">
        <v>75</v>
      </c>
      <c r="D27" s="25" t="n">
        <v>347.56</v>
      </c>
      <c r="E27" s="17" t="n">
        <v>374.25</v>
      </c>
      <c r="F27" s="26"/>
      <c r="G27" s="26"/>
      <c r="H27" s="26"/>
      <c r="I27" s="26"/>
      <c r="J27" s="26"/>
      <c r="K27" s="19" t="n">
        <f aca="false">C27*D27</f>
        <v>26067</v>
      </c>
      <c r="L27" s="19" t="n">
        <f aca="false">C27*(E27-D27)</f>
        <v>2001.75</v>
      </c>
      <c r="M27" s="20" t="n">
        <f aca="false">IF(D27=0,"",(E27-D27)/D27)</f>
        <v>0.0767924962596386</v>
      </c>
      <c r="N27" s="27" t="str">
        <f aca="false">IF(G27="","",C27*(G27-D27))</f>
        <v/>
      </c>
      <c r="O27" s="27" t="str">
        <f aca="false">IF(H27="","",C27*(H27-D27))</f>
        <v/>
      </c>
      <c r="P27" s="27" t="str">
        <f aca="false">IF(I27="","",C27*(I27-D27))</f>
        <v/>
      </c>
      <c r="Q27" s="27" t="str">
        <f aca="false">IF(J27="","",C27*(J27-D27))</f>
        <v/>
      </c>
    </row>
    <row r="28" customFormat="false" ht="16.5" hidden="false" customHeight="true" outlineLevel="0" collapsed="false">
      <c r="A28" s="13" t="s">
        <v>99</v>
      </c>
      <c r="B28" s="14" t="s">
        <v>100</v>
      </c>
      <c r="C28" s="15" t="n">
        <v>150</v>
      </c>
      <c r="D28" s="16" t="n">
        <v>1064.93</v>
      </c>
      <c r="E28" s="17" t="n">
        <v>888.6</v>
      </c>
      <c r="F28" s="26"/>
      <c r="G28" s="26"/>
      <c r="H28" s="26"/>
      <c r="I28" s="26"/>
      <c r="J28" s="26"/>
      <c r="K28" s="19" t="n">
        <f aca="false">C28*D28</f>
        <v>159739.5</v>
      </c>
      <c r="L28" s="19" t="n">
        <f aca="false">C28*(E28-D28)</f>
        <v>-26449.5</v>
      </c>
      <c r="M28" s="20" t="n">
        <f aca="false">IF(D28=0,"",(E28-D28)/D28)</f>
        <v>-0.165578958241387</v>
      </c>
      <c r="N28" s="21" t="str">
        <f aca="false">IF(G28="","",C28*(G28-D28))</f>
        <v/>
      </c>
      <c r="O28" s="21" t="str">
        <f aca="false">IF(H28="","",C28*(H28-D28))</f>
        <v/>
      </c>
      <c r="P28" s="21" t="str">
        <f aca="false">IF(I28="","",C28*(I28-D28))</f>
        <v/>
      </c>
      <c r="Q28" s="21" t="str">
        <f aca="false">IF(J28="","",C28*(J28-D28))</f>
        <v/>
      </c>
    </row>
    <row r="29" customFormat="false" ht="16.5" hidden="false" customHeight="true" outlineLevel="0" collapsed="false">
      <c r="A29" s="22" t="s">
        <v>101</v>
      </c>
      <c r="B29" s="23" t="s">
        <v>102</v>
      </c>
      <c r="C29" s="24" t="n">
        <v>250</v>
      </c>
      <c r="D29" s="25" t="n">
        <v>197</v>
      </c>
      <c r="E29" s="17" t="n">
        <v>159.68</v>
      </c>
      <c r="F29" s="26"/>
      <c r="G29" s="26"/>
      <c r="H29" s="26"/>
      <c r="I29" s="26"/>
      <c r="J29" s="26"/>
      <c r="K29" s="19" t="n">
        <f aca="false">C29*D29</f>
        <v>49250</v>
      </c>
      <c r="L29" s="19" t="n">
        <f aca="false">C29*(E29-D29)</f>
        <v>-9330</v>
      </c>
      <c r="M29" s="20" t="n">
        <f aca="false">IF(D29=0,"",(E29-D29)/D29)</f>
        <v>-0.189441624365482</v>
      </c>
      <c r="N29" s="27" t="str">
        <f aca="false">IF(G29="","",C29*(G29-D29))</f>
        <v/>
      </c>
      <c r="O29" s="27" t="str">
        <f aca="false">IF(H29="","",C29*(H29-D29))</f>
        <v/>
      </c>
      <c r="P29" s="27" t="str">
        <f aca="false">IF(I29="","",C29*(I29-D29))</f>
        <v/>
      </c>
      <c r="Q29" s="27" t="str">
        <f aca="false">IF(J29="","",C29*(J29-D29))</f>
        <v/>
      </c>
    </row>
    <row r="30" customFormat="false" ht="16.5" hidden="false" customHeight="true" outlineLevel="0" collapsed="false">
      <c r="A30" s="13" t="s">
        <v>103</v>
      </c>
      <c r="B30" s="14" t="s">
        <v>104</v>
      </c>
      <c r="C30" s="15" t="n">
        <v>100</v>
      </c>
      <c r="D30" s="16" t="n">
        <v>458.57</v>
      </c>
      <c r="E30" s="17" t="n">
        <v>447</v>
      </c>
      <c r="F30" s="26"/>
      <c r="G30" s="26"/>
      <c r="H30" s="26"/>
      <c r="I30" s="26"/>
      <c r="J30" s="26"/>
      <c r="K30" s="19" t="n">
        <f aca="false">C30*D30</f>
        <v>45857</v>
      </c>
      <c r="L30" s="19" t="n">
        <f aca="false">C30*(E30-D30)</f>
        <v>-1157</v>
      </c>
      <c r="M30" s="20" t="n">
        <f aca="false">IF(D30=0,"",(E30-D30)/D30)</f>
        <v>-0.0252306081950411</v>
      </c>
      <c r="N30" s="21" t="str">
        <f aca="false">IF(G30="","",C30*(G30-D30))</f>
        <v/>
      </c>
      <c r="O30" s="21" t="str">
        <f aca="false">IF(H30="","",C30*(H30-D30))</f>
        <v/>
      </c>
      <c r="P30" s="21" t="str">
        <f aca="false">IF(I30="","",C30*(I30-D30))</f>
        <v/>
      </c>
      <c r="Q30" s="21" t="str">
        <f aca="false">IF(J30="","",C30*(J30-D30))</f>
        <v/>
      </c>
    </row>
    <row r="31" customFormat="false" ht="16.5" hidden="false" customHeight="true" outlineLevel="0" collapsed="false">
      <c r="A31" s="22" t="s">
        <v>105</v>
      </c>
      <c r="B31" s="23" t="s">
        <v>106</v>
      </c>
      <c r="C31" s="24" t="n">
        <v>315</v>
      </c>
      <c r="D31" s="25" t="n">
        <v>31.94</v>
      </c>
      <c r="E31" s="17" t="n">
        <v>24.74</v>
      </c>
      <c r="F31" s="26"/>
      <c r="G31" s="26"/>
      <c r="H31" s="26"/>
      <c r="I31" s="26"/>
      <c r="J31" s="26"/>
      <c r="K31" s="19" t="n">
        <f aca="false">C31*D31</f>
        <v>10061.1</v>
      </c>
      <c r="L31" s="19" t="n">
        <f aca="false">C31*(E31-D31)</f>
        <v>-2268</v>
      </c>
      <c r="M31" s="20" t="n">
        <f aca="false">IF(D31=0,"",(E31-D31)/D31)</f>
        <v>-0.225422667501566</v>
      </c>
      <c r="N31" s="27" t="str">
        <f aca="false">IF(G31="","",C31*(G31-D31))</f>
        <v/>
      </c>
      <c r="O31" s="27" t="str">
        <f aca="false">IF(H31="","",C31*(H31-D31))</f>
        <v/>
      </c>
      <c r="P31" s="27" t="str">
        <f aca="false">IF(I31="","",C31*(I31-D31))</f>
        <v/>
      </c>
      <c r="Q31" s="27" t="str">
        <f aca="false">IF(J31="","",C31*(J31-D31))</f>
        <v/>
      </c>
    </row>
    <row r="32" customFormat="false" ht="16.5" hidden="false" customHeight="true" outlineLevel="0" collapsed="false">
      <c r="A32" s="13" t="s">
        <v>107</v>
      </c>
      <c r="B32" s="14" t="s">
        <v>108</v>
      </c>
      <c r="C32" s="15" t="n">
        <v>1000</v>
      </c>
      <c r="D32" s="16" t="n">
        <v>180.36</v>
      </c>
      <c r="E32" s="17" t="n">
        <v>160.65</v>
      </c>
      <c r="F32" s="26"/>
      <c r="G32" s="26"/>
      <c r="H32" s="26"/>
      <c r="I32" s="26"/>
      <c r="J32" s="26"/>
      <c r="K32" s="19" t="n">
        <f aca="false">C32*D32</f>
        <v>180360</v>
      </c>
      <c r="L32" s="19" t="n">
        <f aca="false">C32*(E32-D32)</f>
        <v>-19710</v>
      </c>
      <c r="M32" s="20" t="n">
        <f aca="false">IF(D32=0,"",(E32-D32)/D32)</f>
        <v>-0.109281437125749</v>
      </c>
      <c r="N32" s="21" t="str">
        <f aca="false">IF(G32="","",C32*(G32-D32))</f>
        <v/>
      </c>
      <c r="O32" s="21" t="str">
        <f aca="false">IF(H32="","",C32*(H32-D32))</f>
        <v/>
      </c>
      <c r="P32" s="21" t="str">
        <f aca="false">IF(I32="","",C32*(I32-D32))</f>
        <v/>
      </c>
      <c r="Q32" s="21" t="str">
        <f aca="false">IF(J32="","",C32*(J32-D32))</f>
        <v/>
      </c>
    </row>
    <row r="33" customFormat="false" ht="16.5" hidden="false" customHeight="true" outlineLevel="0" collapsed="false">
      <c r="A33" s="22" t="s">
        <v>109</v>
      </c>
      <c r="B33" s="23" t="s">
        <v>110</v>
      </c>
      <c r="C33" s="24" t="n">
        <v>200</v>
      </c>
      <c r="D33" s="25" t="n">
        <v>146.69</v>
      </c>
      <c r="E33" s="17" t="n">
        <v>82.26</v>
      </c>
      <c r="F33" s="26"/>
      <c r="G33" s="26"/>
      <c r="H33" s="26"/>
      <c r="I33" s="26"/>
      <c r="J33" s="26"/>
      <c r="K33" s="19" t="n">
        <f aca="false">C33*D33</f>
        <v>29338</v>
      </c>
      <c r="L33" s="19" t="n">
        <f aca="false">C33*(E33-D33)</f>
        <v>-12886</v>
      </c>
      <c r="M33" s="20" t="n">
        <f aca="false">IF(D33=0,"",(E33-D33)/D33)</f>
        <v>-0.439225577748994</v>
      </c>
      <c r="N33" s="27" t="str">
        <f aca="false">IF(G33="","",C33*(G33-D33))</f>
        <v/>
      </c>
      <c r="O33" s="27" t="str">
        <f aca="false">IF(H33="","",C33*(H33-D33))</f>
        <v/>
      </c>
      <c r="P33" s="27" t="str">
        <f aca="false">IF(I33="","",C33*(I33-D33))</f>
        <v/>
      </c>
      <c r="Q33" s="27" t="str">
        <f aca="false">IF(J33="","",C33*(J33-D33))</f>
        <v/>
      </c>
    </row>
    <row r="34" customFormat="false" ht="16.5" hidden="false" customHeight="true" outlineLevel="0" collapsed="false">
      <c r="A34" s="13" t="s">
        <v>111</v>
      </c>
      <c r="B34" s="14" t="s">
        <v>112</v>
      </c>
      <c r="C34" s="15" t="n">
        <v>300</v>
      </c>
      <c r="D34" s="16" t="n">
        <v>88.37</v>
      </c>
      <c r="E34" s="17" t="n">
        <v>73.53</v>
      </c>
      <c r="F34" s="26"/>
      <c r="G34" s="26"/>
      <c r="H34" s="26"/>
      <c r="I34" s="26"/>
      <c r="J34" s="26"/>
      <c r="K34" s="19" t="n">
        <f aca="false">C34*D34</f>
        <v>26511</v>
      </c>
      <c r="L34" s="19" t="n">
        <f aca="false">C34*(E34-D34)</f>
        <v>-4452</v>
      </c>
      <c r="M34" s="20" t="n">
        <f aca="false">IF(D34=0,"",(E34-D34)/D34)</f>
        <v>-0.167930293085889</v>
      </c>
      <c r="N34" s="21" t="str">
        <f aca="false">IF(G34="","",C34*(G34-D34))</f>
        <v/>
      </c>
      <c r="O34" s="21" t="str">
        <f aca="false">IF(H34="","",C34*(H34-D34))</f>
        <v/>
      </c>
      <c r="P34" s="21" t="str">
        <f aca="false">IF(I34="","",C34*(I34-D34))</f>
        <v/>
      </c>
      <c r="Q34" s="21" t="str">
        <f aca="false">IF(J34="","",C34*(J34-D34))</f>
        <v/>
      </c>
    </row>
    <row r="35" customFormat="false" ht="16.5" hidden="false" customHeight="true" outlineLevel="0" collapsed="false">
      <c r="A35" s="22" t="s">
        <v>113</v>
      </c>
      <c r="B35" s="23" t="s">
        <v>114</v>
      </c>
      <c r="C35" s="24" t="n">
        <v>250</v>
      </c>
      <c r="D35" s="25" t="n">
        <v>443.14</v>
      </c>
      <c r="E35" s="17" t="n">
        <v>434.75</v>
      </c>
      <c r="F35" s="26"/>
      <c r="G35" s="26"/>
      <c r="H35" s="26"/>
      <c r="I35" s="26"/>
      <c r="J35" s="26"/>
      <c r="K35" s="19" t="n">
        <f aca="false">C35*D35</f>
        <v>110785</v>
      </c>
      <c r="L35" s="19" t="n">
        <f aca="false">C35*(E35-D35)</f>
        <v>-2097.5</v>
      </c>
      <c r="M35" s="20" t="n">
        <f aca="false">IF(D35=0,"",(E35-D35)/D35)</f>
        <v>-0.0189330685562125</v>
      </c>
      <c r="N35" s="27" t="str">
        <f aca="false">IF(G35="","",C35*(G35-D35))</f>
        <v/>
      </c>
      <c r="O35" s="27" t="str">
        <f aca="false">IF(H35="","",C35*(H35-D35))</f>
        <v/>
      </c>
      <c r="P35" s="27" t="str">
        <f aca="false">IF(I35="","",C35*(I35-D35))</f>
        <v/>
      </c>
      <c r="Q35" s="27" t="str">
        <f aca="false">IF(J35="","",C35*(J35-D35))</f>
        <v/>
      </c>
    </row>
    <row r="36" customFormat="false" ht="16.5" hidden="false" customHeight="true" outlineLevel="0" collapsed="false">
      <c r="A36" s="13" t="s">
        <v>115</v>
      </c>
      <c r="B36" s="14" t="s">
        <v>116</v>
      </c>
      <c r="C36" s="15" t="n">
        <v>115</v>
      </c>
      <c r="D36" s="16" t="n">
        <v>87.84</v>
      </c>
      <c r="E36" s="17" t="n">
        <v>84.48</v>
      </c>
      <c r="F36" s="26"/>
      <c r="G36" s="26"/>
      <c r="H36" s="26"/>
      <c r="I36" s="26"/>
      <c r="J36" s="26"/>
      <c r="K36" s="19" t="n">
        <f aca="false">C36*D36</f>
        <v>10101.6</v>
      </c>
      <c r="L36" s="19" t="n">
        <f aca="false">C36*(E36-D36)</f>
        <v>-386.4</v>
      </c>
      <c r="M36" s="20" t="n">
        <f aca="false">IF(D36=0,"",(E36-D36)/D36)</f>
        <v>-0.0382513661202186</v>
      </c>
      <c r="N36" s="21" t="str">
        <f aca="false">IF(G36="","",C36*(G36-D36))</f>
        <v/>
      </c>
      <c r="O36" s="21" t="str">
        <f aca="false">IF(H36="","",C36*(H36-D36))</f>
        <v/>
      </c>
      <c r="P36" s="21" t="str">
        <f aca="false">IF(I36="","",C36*(I36-D36))</f>
        <v/>
      </c>
      <c r="Q36" s="21" t="str">
        <f aca="false">IF(J36="","",C36*(J36-D36))</f>
        <v/>
      </c>
    </row>
    <row r="37" customFormat="false" ht="16.5" hidden="false" customHeight="true" outlineLevel="0" collapsed="false">
      <c r="A37" s="22" t="s">
        <v>117</v>
      </c>
      <c r="B37" s="23" t="s">
        <v>118</v>
      </c>
      <c r="C37" s="24" t="n">
        <v>240</v>
      </c>
      <c r="D37" s="25" t="n">
        <v>212.93</v>
      </c>
      <c r="E37" s="17" t="n">
        <v>182.02</v>
      </c>
      <c r="F37" s="26"/>
      <c r="G37" s="26"/>
      <c r="H37" s="26"/>
      <c r="I37" s="26"/>
      <c r="J37" s="26"/>
      <c r="K37" s="19" t="n">
        <f aca="false">C37*D37</f>
        <v>51103.2</v>
      </c>
      <c r="L37" s="19" t="n">
        <f aca="false">C37*(E37-D37)</f>
        <v>-7418.4</v>
      </c>
      <c r="M37" s="20" t="n">
        <f aca="false">IF(D37=0,"",(E37-D37)/D37)</f>
        <v>-0.145165077725074</v>
      </c>
      <c r="N37" s="27" t="str">
        <f aca="false">IF(G37="","",C37*(G37-D37))</f>
        <v/>
      </c>
      <c r="O37" s="27" t="str">
        <f aca="false">IF(H37="","",C37*(H37-D37))</f>
        <v/>
      </c>
      <c r="P37" s="27" t="str">
        <f aca="false">IF(I37="","",C37*(I37-D37))</f>
        <v/>
      </c>
      <c r="Q37" s="27" t="str">
        <f aca="false">IF(J37="","",C37*(J37-D37))</f>
        <v/>
      </c>
    </row>
    <row r="38" customFormat="false" ht="16.5" hidden="false" customHeight="true" outlineLevel="0" collapsed="false">
      <c r="A38" s="13" t="s">
        <v>119</v>
      </c>
      <c r="B38" s="14" t="s">
        <v>120</v>
      </c>
      <c r="C38" s="15" t="n">
        <v>600</v>
      </c>
      <c r="D38" s="16" t="n">
        <v>184.35</v>
      </c>
      <c r="E38" s="17" t="n">
        <v>148.74</v>
      </c>
      <c r="F38" s="26"/>
      <c r="G38" s="26"/>
      <c r="H38" s="26"/>
      <c r="I38" s="26"/>
      <c r="J38" s="26"/>
      <c r="K38" s="19" t="n">
        <f aca="false">C38*D38</f>
        <v>110610</v>
      </c>
      <c r="L38" s="19" t="n">
        <f aca="false">C38*(E38-D38)</f>
        <v>-21366</v>
      </c>
      <c r="M38" s="20" t="n">
        <f aca="false">IF(D38=0,"",(E38-D38)/D38)</f>
        <v>-0.193165174938975</v>
      </c>
      <c r="N38" s="21" t="str">
        <f aca="false">IF(G38="","",C38*(G38-D38))</f>
        <v/>
      </c>
      <c r="O38" s="21" t="str">
        <f aca="false">IF(H38="","",C38*(H38-D38))</f>
        <v/>
      </c>
      <c r="P38" s="21" t="str">
        <f aca="false">IF(I38="","",C38*(I38-D38))</f>
        <v/>
      </c>
      <c r="Q38" s="21" t="str">
        <f aca="false">IF(J38="","",C38*(J38-D38))</f>
        <v/>
      </c>
    </row>
    <row r="39" customFormat="false" ht="16.5" hidden="false" customHeight="true" outlineLevel="0" collapsed="false">
      <c r="A39" s="22" t="s">
        <v>121</v>
      </c>
      <c r="B39" s="23" t="s">
        <v>122</v>
      </c>
      <c r="C39" s="24" t="n">
        <v>1550</v>
      </c>
      <c r="D39" s="25" t="n">
        <v>623.29</v>
      </c>
      <c r="E39" s="17" t="n">
        <v>394.95</v>
      </c>
      <c r="F39" s="26"/>
      <c r="G39" s="26"/>
      <c r="H39" s="26"/>
      <c r="I39" s="26"/>
      <c r="J39" s="26"/>
      <c r="K39" s="19" t="n">
        <f aca="false">C39*D39</f>
        <v>966099.5</v>
      </c>
      <c r="L39" s="19" t="n">
        <f aca="false">C39*(E39-D39)</f>
        <v>-353927</v>
      </c>
      <c r="M39" s="20" t="n">
        <f aca="false">IF(D39=0,"",(E39-D39)/D39)</f>
        <v>-0.366346323541209</v>
      </c>
      <c r="N39" s="27" t="str">
        <f aca="false">IF(G39="","",C39*(G39-D39))</f>
        <v/>
      </c>
      <c r="O39" s="27" t="str">
        <f aca="false">IF(H39="","",C39*(H39-D39))</f>
        <v/>
      </c>
      <c r="P39" s="27" t="str">
        <f aca="false">IF(I39="","",C39*(I39-D39))</f>
        <v/>
      </c>
      <c r="Q39" s="27" t="str">
        <f aca="false">IF(J39="","",C39*(J39-D39))</f>
        <v/>
      </c>
    </row>
    <row r="40" customFormat="false" ht="16.5" hidden="false" customHeight="true" outlineLevel="0" collapsed="false">
      <c r="A40" s="13" t="s">
        <v>123</v>
      </c>
      <c r="B40" s="14" t="s">
        <v>124</v>
      </c>
      <c r="C40" s="15" t="n">
        <v>3000</v>
      </c>
      <c r="D40" s="16" t="n">
        <v>29.46</v>
      </c>
      <c r="E40" s="17" t="n">
        <v>26.01</v>
      </c>
      <c r="F40" s="26"/>
      <c r="G40" s="26"/>
      <c r="H40" s="26"/>
      <c r="I40" s="26"/>
      <c r="J40" s="26"/>
      <c r="K40" s="19" t="n">
        <f aca="false">C40*D40</f>
        <v>88380</v>
      </c>
      <c r="L40" s="19" t="n">
        <f aca="false">C40*(E40-D40)</f>
        <v>-10350</v>
      </c>
      <c r="M40" s="20" t="n">
        <f aca="false">IF(D40=0,"",(E40-D40)/D40)</f>
        <v>-0.117107942973523</v>
      </c>
      <c r="N40" s="21" t="str">
        <f aca="false">IF(G40="","",C40*(G40-D40))</f>
        <v/>
      </c>
      <c r="O40" s="21" t="str">
        <f aca="false">IF(H40="","",C40*(H40-D40))</f>
        <v/>
      </c>
      <c r="P40" s="21" t="str">
        <f aca="false">IF(I40="","",C40*(I40-D40))</f>
        <v/>
      </c>
      <c r="Q40" s="21" t="str">
        <f aca="false">IF(J40="","",C40*(J40-D40))</f>
        <v/>
      </c>
    </row>
    <row r="41" customFormat="false" ht="16.5" hidden="false" customHeight="true" outlineLevel="0" collapsed="false">
      <c r="A41" s="22" t="s">
        <v>125</v>
      </c>
      <c r="B41" s="23" t="s">
        <v>126</v>
      </c>
      <c r="C41" s="24" t="n">
        <v>30</v>
      </c>
      <c r="D41" s="25" t="n">
        <v>1783.48</v>
      </c>
      <c r="E41" s="17" t="n">
        <v>1601</v>
      </c>
      <c r="F41" s="26"/>
      <c r="G41" s="26"/>
      <c r="H41" s="26"/>
      <c r="I41" s="26"/>
      <c r="J41" s="26"/>
      <c r="K41" s="19" t="n">
        <f aca="false">C41*D41</f>
        <v>53504.4</v>
      </c>
      <c r="L41" s="19" t="n">
        <f aca="false">C41*(E41-D41)</f>
        <v>-5474.4</v>
      </c>
      <c r="M41" s="20" t="n">
        <f aca="false">IF(D41=0,"",(E41-D41)/D41)</f>
        <v>-0.102316818803687</v>
      </c>
      <c r="N41" s="27" t="str">
        <f aca="false">IF(G41="","",C41*(G41-D41))</f>
        <v/>
      </c>
      <c r="O41" s="27" t="str">
        <f aca="false">IF(H41="","",C41*(H41-D41))</f>
        <v/>
      </c>
      <c r="P41" s="27" t="str">
        <f aca="false">IF(I41="","",C41*(I41-D41))</f>
        <v/>
      </c>
      <c r="Q41" s="27" t="str">
        <f aca="false">IF(J41="","",C41*(J41-D41))</f>
        <v/>
      </c>
    </row>
    <row r="42" customFormat="false" ht="16.5" hidden="false" customHeight="true" outlineLevel="0" collapsed="false">
      <c r="A42" s="13" t="s">
        <v>127</v>
      </c>
      <c r="B42" s="14" t="s">
        <v>128</v>
      </c>
      <c r="C42" s="15" t="n">
        <v>40</v>
      </c>
      <c r="D42" s="16" t="n">
        <v>1332.53</v>
      </c>
      <c r="E42" s="17" t="n">
        <v>1662.9</v>
      </c>
      <c r="F42" s="26"/>
      <c r="G42" s="26"/>
      <c r="H42" s="26"/>
      <c r="I42" s="26"/>
      <c r="J42" s="26"/>
      <c r="K42" s="19" t="n">
        <f aca="false">C42*D42</f>
        <v>53301.2</v>
      </c>
      <c r="L42" s="19" t="n">
        <f aca="false">C42*(E42-D42)</f>
        <v>13214.8</v>
      </c>
      <c r="M42" s="20" t="n">
        <f aca="false">IF(D42=0,"",(E42-D42)/D42)</f>
        <v>0.247926875942756</v>
      </c>
      <c r="N42" s="21" t="str">
        <f aca="false">IF(G42="","",C42*(G42-D42))</f>
        <v/>
      </c>
      <c r="O42" s="21" t="str">
        <f aca="false">IF(H42="","",C42*(H42-D42))</f>
        <v/>
      </c>
      <c r="P42" s="21" t="str">
        <f aca="false">IF(I42="","",C42*(I42-D42))</f>
        <v/>
      </c>
      <c r="Q42" s="21" t="str">
        <f aca="false">IF(J42="","",C42*(J42-D42))</f>
        <v/>
      </c>
    </row>
    <row r="43" customFormat="false" ht="16.5" hidden="false" customHeight="true" outlineLevel="0" collapsed="false">
      <c r="A43" s="22" t="s">
        <v>129</v>
      </c>
      <c r="B43" s="23" t="s">
        <v>130</v>
      </c>
      <c r="C43" s="24" t="n">
        <v>400</v>
      </c>
      <c r="D43" s="25" t="n">
        <v>164.27</v>
      </c>
      <c r="E43" s="17" t="n">
        <v>122.8</v>
      </c>
      <c r="F43" s="26"/>
      <c r="G43" s="26"/>
      <c r="H43" s="26"/>
      <c r="I43" s="26"/>
      <c r="J43" s="26"/>
      <c r="K43" s="19" t="n">
        <f aca="false">C43*D43</f>
        <v>65708</v>
      </c>
      <c r="L43" s="19" t="n">
        <f aca="false">C43*(E43-D43)</f>
        <v>-16588</v>
      </c>
      <c r="M43" s="20" t="n">
        <f aca="false">IF(D43=0,"",(E43-D43)/D43)</f>
        <v>-0.252450234370244</v>
      </c>
      <c r="N43" s="27" t="str">
        <f aca="false">IF(G43="","",C43*(G43-D43))</f>
        <v/>
      </c>
      <c r="O43" s="27" t="str">
        <f aca="false">IF(H43="","",C43*(H43-D43))</f>
        <v/>
      </c>
      <c r="P43" s="27" t="str">
        <f aca="false">IF(I43="","",C43*(I43-D43))</f>
        <v/>
      </c>
      <c r="Q43" s="27" t="str">
        <f aca="false">IF(J43="","",C43*(J43-D43))</f>
        <v/>
      </c>
    </row>
    <row r="44" customFormat="false" ht="16.5" hidden="false" customHeight="true" outlineLevel="0" collapsed="false">
      <c r="A44" s="13" t="s">
        <v>131</v>
      </c>
      <c r="B44" s="14" t="s">
        <v>131</v>
      </c>
      <c r="C44" s="15" t="n">
        <v>500</v>
      </c>
      <c r="D44" s="16" t="n">
        <v>207.41</v>
      </c>
      <c r="E44" s="17" t="n">
        <v>186.92</v>
      </c>
      <c r="F44" s="26"/>
      <c r="G44" s="26"/>
      <c r="H44" s="26"/>
      <c r="I44" s="26"/>
      <c r="J44" s="26"/>
      <c r="K44" s="19" t="n">
        <f aca="false">C44*D44</f>
        <v>103705</v>
      </c>
      <c r="L44" s="19" t="n">
        <f aca="false">C44*(E44-D44)</f>
        <v>-10245</v>
      </c>
      <c r="M44" s="20" t="n">
        <f aca="false">IF(D44=0,"",(E44-D44)/D44)</f>
        <v>-0.0987898365556145</v>
      </c>
      <c r="N44" s="21" t="str">
        <f aca="false">IF(G44="","",C44*(G44-D44))</f>
        <v/>
      </c>
      <c r="O44" s="21" t="str">
        <f aca="false">IF(H44="","",C44*(H44-D44))</f>
        <v/>
      </c>
      <c r="P44" s="21" t="str">
        <f aca="false">IF(I44="","",C44*(I44-D44))</f>
        <v/>
      </c>
      <c r="Q44" s="21" t="str">
        <f aca="false">IF(J44="","",C44*(J44-D44))</f>
        <v/>
      </c>
    </row>
    <row r="45" customFormat="false" ht="16.5" hidden="false" customHeight="true" outlineLevel="0" collapsed="false">
      <c r="A45" s="22" t="s">
        <v>132</v>
      </c>
      <c r="B45" s="23" t="s">
        <v>133</v>
      </c>
      <c r="C45" s="24" t="n">
        <v>500</v>
      </c>
      <c r="D45" s="25" t="n">
        <v>50.76</v>
      </c>
      <c r="E45" s="17" t="n">
        <v>32.75</v>
      </c>
      <c r="F45" s="26"/>
      <c r="G45" s="26"/>
      <c r="H45" s="26"/>
      <c r="I45" s="26"/>
      <c r="J45" s="26"/>
      <c r="K45" s="19" t="n">
        <f aca="false">C45*D45</f>
        <v>25380</v>
      </c>
      <c r="L45" s="19" t="n">
        <f aca="false">C45*(E45-D45)</f>
        <v>-9005</v>
      </c>
      <c r="M45" s="20" t="n">
        <f aca="false">IF(D45=0,"",(E45-D45)/D45)</f>
        <v>-0.354806934594169</v>
      </c>
      <c r="N45" s="27" t="str">
        <f aca="false">IF(G45="","",C45*(G45-D45))</f>
        <v/>
      </c>
      <c r="O45" s="27" t="str">
        <f aca="false">IF(H45="","",C45*(H45-D45))</f>
        <v/>
      </c>
      <c r="P45" s="27" t="str">
        <f aca="false">IF(I45="","",C45*(I45-D45))</f>
        <v/>
      </c>
      <c r="Q45" s="27" t="str">
        <f aca="false">IF(J45="","",C45*(J45-D45))</f>
        <v/>
      </c>
    </row>
    <row r="46" customFormat="false" ht="16.5" hidden="false" customHeight="true" outlineLevel="0" collapsed="false">
      <c r="A46" s="13" t="s">
        <v>134</v>
      </c>
      <c r="B46" s="14" t="s">
        <v>135</v>
      </c>
      <c r="C46" s="15" t="n">
        <v>4500</v>
      </c>
      <c r="D46" s="16" t="n">
        <v>82.66</v>
      </c>
      <c r="E46" s="17" t="n">
        <v>74.99</v>
      </c>
      <c r="F46" s="26"/>
      <c r="G46" s="26"/>
      <c r="H46" s="26"/>
      <c r="I46" s="26"/>
      <c r="J46" s="26"/>
      <c r="K46" s="19" t="n">
        <f aca="false">C46*D46</f>
        <v>371970</v>
      </c>
      <c r="L46" s="19" t="n">
        <f aca="false">C46*(E46-D46)</f>
        <v>-34515</v>
      </c>
      <c r="M46" s="20" t="n">
        <f aca="false">IF(D46=0,"",(E46-D46)/D46)</f>
        <v>-0.0927897411081539</v>
      </c>
      <c r="N46" s="21" t="str">
        <f aca="false">IF(G46="","",C46*(G46-D46))</f>
        <v/>
      </c>
      <c r="O46" s="21" t="str">
        <f aca="false">IF(H46="","",C46*(H46-D46))</f>
        <v/>
      </c>
      <c r="P46" s="21" t="str">
        <f aca="false">IF(I46="","",C46*(I46-D46))</f>
        <v/>
      </c>
      <c r="Q46" s="21" t="str">
        <f aca="false">IF(J46="","",C46*(J46-D46))</f>
        <v/>
      </c>
    </row>
    <row r="47" customFormat="false" ht="16.5" hidden="false" customHeight="true" outlineLevel="0" collapsed="false">
      <c r="A47" s="22" t="s">
        <v>136</v>
      </c>
      <c r="B47" s="23" t="s">
        <v>137</v>
      </c>
      <c r="C47" s="24" t="n">
        <v>3000</v>
      </c>
      <c r="D47" s="25" t="n">
        <v>45.02</v>
      </c>
      <c r="E47" s="17" t="n">
        <v>38.02</v>
      </c>
      <c r="F47" s="26"/>
      <c r="G47" s="26"/>
      <c r="H47" s="26"/>
      <c r="I47" s="26"/>
      <c r="J47" s="26"/>
      <c r="K47" s="19" t="n">
        <f aca="false">C47*D47</f>
        <v>135060</v>
      </c>
      <c r="L47" s="19" t="n">
        <f aca="false">C47*(E47-D47)</f>
        <v>-21000</v>
      </c>
      <c r="M47" s="20" t="n">
        <f aca="false">IF(D47=0,"",(E47-D47)/D47)</f>
        <v>-0.155486450466459</v>
      </c>
      <c r="N47" s="27" t="str">
        <f aca="false">IF(G47="","",C47*(G47-D47))</f>
        <v/>
      </c>
      <c r="O47" s="27" t="str">
        <f aca="false">IF(H47="","",C47*(H47-D47))</f>
        <v/>
      </c>
      <c r="P47" s="27" t="str">
        <f aca="false">IF(I47="","",C47*(I47-D47))</f>
        <v/>
      </c>
      <c r="Q47" s="27" t="str">
        <f aca="false">IF(J47="","",C47*(J47-D47))</f>
        <v/>
      </c>
    </row>
    <row r="48" customFormat="false" ht="16.5" hidden="false" customHeight="true" outlineLevel="0" collapsed="false">
      <c r="A48" s="13" t="s">
        <v>138</v>
      </c>
      <c r="B48" s="14" t="s">
        <v>139</v>
      </c>
      <c r="C48" s="15" t="n">
        <v>150</v>
      </c>
      <c r="D48" s="16" t="n">
        <v>181.43</v>
      </c>
      <c r="E48" s="17" t="n">
        <v>203.4</v>
      </c>
      <c r="F48" s="26"/>
      <c r="G48" s="26"/>
      <c r="H48" s="26"/>
      <c r="I48" s="26"/>
      <c r="J48" s="26"/>
      <c r="K48" s="19" t="n">
        <f aca="false">C48*D48</f>
        <v>27214.5</v>
      </c>
      <c r="L48" s="19" t="n">
        <f aca="false">C48*(E48-D48)</f>
        <v>3295.5</v>
      </c>
      <c r="M48" s="20" t="n">
        <f aca="false">IF(D48=0,"",(E48-D48)/D48)</f>
        <v>0.121093534696577</v>
      </c>
      <c r="N48" s="21" t="str">
        <f aca="false">IF(G48="","",C48*(G48-D48))</f>
        <v/>
      </c>
      <c r="O48" s="21" t="str">
        <f aca="false">IF(H48="","",C48*(H48-D48))</f>
        <v/>
      </c>
      <c r="P48" s="21" t="str">
        <f aca="false">IF(I48="","",C48*(I48-D48))</f>
        <v/>
      </c>
      <c r="Q48" s="21" t="str">
        <f aca="false">IF(J48="","",C48*(J48-D48))</f>
        <v/>
      </c>
    </row>
    <row r="49" customFormat="false" ht="16.5" hidden="false" customHeight="true" outlineLevel="0" collapsed="false">
      <c r="A49" s="22" t="s">
        <v>140</v>
      </c>
      <c r="B49" s="23" t="s">
        <v>141</v>
      </c>
      <c r="C49" s="24" t="n">
        <v>1000</v>
      </c>
      <c r="D49" s="25" t="n">
        <v>54.41</v>
      </c>
      <c r="E49" s="17" t="n">
        <v>46.94</v>
      </c>
      <c r="F49" s="26"/>
      <c r="G49" s="26"/>
      <c r="H49" s="26"/>
      <c r="I49" s="26"/>
      <c r="J49" s="26"/>
      <c r="K49" s="19" t="n">
        <f aca="false">C49*D49</f>
        <v>54410</v>
      </c>
      <c r="L49" s="19" t="n">
        <f aca="false">C49*(E49-D49)</f>
        <v>-7470</v>
      </c>
      <c r="M49" s="20" t="n">
        <f aca="false">IF(D49=0,"",(E49-D49)/D49)</f>
        <v>-0.137290939165595</v>
      </c>
      <c r="N49" s="27" t="str">
        <f aca="false">IF(G49="","",C49*(G49-D49))</f>
        <v/>
      </c>
      <c r="O49" s="27" t="str">
        <f aca="false">IF(H49="","",C49*(H49-D49))</f>
        <v/>
      </c>
      <c r="P49" s="27" t="str">
        <f aca="false">IF(I49="","",C49*(I49-D49))</f>
        <v/>
      </c>
      <c r="Q49" s="27" t="str">
        <f aca="false">IF(J49="","",C49*(J49-D49))</f>
        <v/>
      </c>
    </row>
    <row r="50" customFormat="false" ht="16.5" hidden="false" customHeight="true" outlineLevel="0" collapsed="false">
      <c r="A50" s="13" t="s">
        <v>142</v>
      </c>
      <c r="B50" s="14" t="s">
        <v>143</v>
      </c>
      <c r="C50" s="15" t="n">
        <v>600</v>
      </c>
      <c r="D50" s="16" t="n">
        <v>899.2</v>
      </c>
      <c r="E50" s="17" t="n">
        <v>684.45</v>
      </c>
      <c r="F50" s="18" t="n">
        <v>620.75</v>
      </c>
      <c r="G50" s="18" t="n">
        <v>727</v>
      </c>
      <c r="H50" s="18" t="n">
        <v>843</v>
      </c>
      <c r="I50" s="18" t="n">
        <v>996</v>
      </c>
      <c r="J50" s="18" t="n">
        <v>1030</v>
      </c>
      <c r="K50" s="19" t="n">
        <f aca="false">C50*D50</f>
        <v>539520</v>
      </c>
      <c r="L50" s="19" t="n">
        <f aca="false">C50*(E50-D50)</f>
        <v>-128850</v>
      </c>
      <c r="M50" s="20" t="n">
        <f aca="false">IF(D50=0,"",(E50-D50)/D50)</f>
        <v>-0.238823398576512</v>
      </c>
      <c r="N50" s="21" t="n">
        <f aca="false">IF(G50="","",C50*(G50-D50))</f>
        <v>-103320</v>
      </c>
      <c r="O50" s="21" t="n">
        <f aca="false">IF(H50="","",C50*(H50-D50))</f>
        <v>-33720</v>
      </c>
      <c r="P50" s="21" t="n">
        <f aca="false">IF(I50="","",C50*(I50-D50))</f>
        <v>58080</v>
      </c>
      <c r="Q50" s="21" t="n">
        <f aca="false">IF(J50="","",C50*(J50-D50))</f>
        <v>78480</v>
      </c>
    </row>
    <row r="51" customFormat="false" ht="16.5" hidden="false" customHeight="true" outlineLevel="0" collapsed="false">
      <c r="A51" s="22" t="s">
        <v>144</v>
      </c>
      <c r="B51" s="23" t="s">
        <v>145</v>
      </c>
      <c r="C51" s="24" t="n">
        <v>33</v>
      </c>
      <c r="D51" s="25" t="n">
        <v>5.23</v>
      </c>
      <c r="E51" s="17" t="n">
        <v>4.74</v>
      </c>
      <c r="F51" s="26"/>
      <c r="G51" s="26"/>
      <c r="H51" s="26"/>
      <c r="I51" s="26"/>
      <c r="J51" s="26"/>
      <c r="K51" s="19" t="n">
        <f aca="false">C51*D51</f>
        <v>172.59</v>
      </c>
      <c r="L51" s="19" t="n">
        <f aca="false">C51*(E51-D51)</f>
        <v>-16.17</v>
      </c>
      <c r="M51" s="20" t="n">
        <f aca="false">IF(D51=0,"",(E51-D51)/D51)</f>
        <v>-0.0936902485659656</v>
      </c>
      <c r="N51" s="27" t="str">
        <f aca="false">IF(G51="","",C51*(G51-D51))</f>
        <v/>
      </c>
      <c r="O51" s="27" t="str">
        <f aca="false">IF(H51="","",C51*(H51-D51))</f>
        <v/>
      </c>
      <c r="P51" s="27" t="str">
        <f aca="false">IF(I51="","",C51*(I51-D51))</f>
        <v/>
      </c>
      <c r="Q51" s="27" t="str">
        <f aca="false">IF(J51="","",C51*(J51-D51))</f>
        <v/>
      </c>
    </row>
    <row r="52" customFormat="false" ht="16.5" hidden="false" customHeight="true" outlineLevel="0" collapsed="false">
      <c r="A52" s="13" t="s">
        <v>146</v>
      </c>
      <c r="B52" s="14" t="s">
        <v>147</v>
      </c>
      <c r="C52" s="15" t="n">
        <v>200</v>
      </c>
      <c r="D52" s="16" t="n">
        <v>716.44</v>
      </c>
      <c r="E52" s="17" t="n">
        <v>510.9</v>
      </c>
      <c r="F52" s="26"/>
      <c r="G52" s="26"/>
      <c r="H52" s="26"/>
      <c r="I52" s="26"/>
      <c r="J52" s="26"/>
      <c r="K52" s="19" t="n">
        <f aca="false">C52*D52</f>
        <v>143288</v>
      </c>
      <c r="L52" s="19" t="n">
        <f aca="false">C52*(E52-D52)</f>
        <v>-41108</v>
      </c>
      <c r="M52" s="20" t="n">
        <f aca="false">IF(D52=0,"",(E52-D52)/D52)</f>
        <v>-0.286890737535593</v>
      </c>
      <c r="N52" s="21" t="str">
        <f aca="false">IF(G52="","",C52*(G52-D52))</f>
        <v/>
      </c>
      <c r="O52" s="21" t="str">
        <f aca="false">IF(H52="","",C52*(H52-D52))</f>
        <v/>
      </c>
      <c r="P52" s="21" t="str">
        <f aca="false">IF(I52="","",C52*(I52-D52))</f>
        <v/>
      </c>
      <c r="Q52" s="21" t="str">
        <f aca="false">IF(J52="","",C52*(J52-D52))</f>
        <v/>
      </c>
    </row>
    <row r="53" customFormat="false" ht="16.5" hidden="false" customHeight="true" outlineLevel="0" collapsed="false">
      <c r="A53" s="22" t="s">
        <v>148</v>
      </c>
      <c r="B53" s="23" t="s">
        <v>149</v>
      </c>
      <c r="C53" s="24" t="n">
        <v>1175</v>
      </c>
      <c r="D53" s="25" t="n">
        <v>288.24</v>
      </c>
      <c r="E53" s="17" t="n">
        <v>247.3</v>
      </c>
      <c r="F53" s="26"/>
      <c r="G53" s="26"/>
      <c r="H53" s="26"/>
      <c r="I53" s="26"/>
      <c r="J53" s="26"/>
      <c r="K53" s="19" t="n">
        <f aca="false">C53*D53</f>
        <v>338682</v>
      </c>
      <c r="L53" s="19" t="n">
        <f aca="false">C53*(E53-D53)</f>
        <v>-48104.5</v>
      </c>
      <c r="M53" s="20" t="n">
        <f aca="false">IF(D53=0,"",(E53-D53)/D53)</f>
        <v>-0.142034415764641</v>
      </c>
      <c r="N53" s="27" t="str">
        <f aca="false">IF(G53="","",C53*(G53-D53))</f>
        <v/>
      </c>
      <c r="O53" s="27" t="str">
        <f aca="false">IF(H53="","",C53*(H53-D53))</f>
        <v/>
      </c>
      <c r="P53" s="27" t="str">
        <f aca="false">IF(I53="","",C53*(I53-D53))</f>
        <v/>
      </c>
      <c r="Q53" s="27" t="str">
        <f aca="false">IF(J53="","",C53*(J53-D53))</f>
        <v/>
      </c>
    </row>
    <row r="54" customFormat="false" ht="16.5" hidden="false" customHeight="true" outlineLevel="0" collapsed="false">
      <c r="A54" s="13" t="s">
        <v>150</v>
      </c>
      <c r="B54" s="14" t="s">
        <v>151</v>
      </c>
      <c r="C54" s="15" t="n">
        <v>1400</v>
      </c>
      <c r="D54" s="16" t="n">
        <v>173.82</v>
      </c>
      <c r="E54" s="17" t="n">
        <v>149.75</v>
      </c>
      <c r="F54" s="26"/>
      <c r="G54" s="26"/>
      <c r="H54" s="26"/>
      <c r="I54" s="26"/>
      <c r="J54" s="26"/>
      <c r="K54" s="19" t="n">
        <f aca="false">C54*D54</f>
        <v>243348</v>
      </c>
      <c r="L54" s="19" t="n">
        <f aca="false">C54*(E54-D54)</f>
        <v>-33698</v>
      </c>
      <c r="M54" s="20" t="n">
        <f aca="false">IF(D54=0,"",(E54-D54)/D54)</f>
        <v>-0.138476584972961</v>
      </c>
      <c r="N54" s="21" t="str">
        <f aca="false">IF(G54="","",C54*(G54-D54))</f>
        <v/>
      </c>
      <c r="O54" s="21" t="str">
        <f aca="false">IF(H54="","",C54*(H54-D54))</f>
        <v/>
      </c>
      <c r="P54" s="21" t="str">
        <f aca="false">IF(I54="","",C54*(I54-D54))</f>
        <v/>
      </c>
      <c r="Q54" s="21" t="str">
        <f aca="false">IF(J54="","",C54*(J54-D54))</f>
        <v/>
      </c>
    </row>
    <row r="55" customFormat="false" ht="16.5" hidden="false" customHeight="true" outlineLevel="0" collapsed="false">
      <c r="A55" s="22" t="s">
        <v>152</v>
      </c>
      <c r="B55" s="23" t="s">
        <v>153</v>
      </c>
      <c r="C55" s="24" t="n">
        <v>2000</v>
      </c>
      <c r="D55" s="25" t="n">
        <v>478.56</v>
      </c>
      <c r="E55" s="17" t="n">
        <v>428.15</v>
      </c>
      <c r="F55" s="18" t="n">
        <v>350</v>
      </c>
      <c r="G55" s="18" t="n">
        <v>409</v>
      </c>
      <c r="H55" s="18" t="n">
        <v>494</v>
      </c>
      <c r="I55" s="18" t="n">
        <v>524</v>
      </c>
      <c r="J55" s="18" t="n">
        <v>669</v>
      </c>
      <c r="K55" s="19" t="n">
        <f aca="false">C55*D55</f>
        <v>957120</v>
      </c>
      <c r="L55" s="19" t="n">
        <f aca="false">C55*(E55-D55)</f>
        <v>-100820</v>
      </c>
      <c r="M55" s="20" t="n">
        <f aca="false">IF(D55=0,"",(E55-D55)/D55)</f>
        <v>-0.105336843864928</v>
      </c>
      <c r="N55" s="27" t="n">
        <f aca="false">IF(G55="","",C55*(G55-D55))</f>
        <v>-139120</v>
      </c>
      <c r="O55" s="27" t="n">
        <f aca="false">IF(H55="","",C55*(H55-D55))</f>
        <v>30880</v>
      </c>
      <c r="P55" s="27" t="n">
        <f aca="false">IF(I55="","",C55*(I55-D55))</f>
        <v>90880</v>
      </c>
      <c r="Q55" s="27" t="n">
        <f aca="false">IF(J55="","",C55*(J55-D55))</f>
        <v>380880</v>
      </c>
    </row>
    <row r="56" customFormat="false" ht="16.5" hidden="false" customHeight="true" outlineLevel="0" collapsed="false">
      <c r="A56" s="13" t="s">
        <v>154</v>
      </c>
      <c r="B56" s="14" t="s">
        <v>155</v>
      </c>
      <c r="C56" s="15" t="n">
        <v>120</v>
      </c>
      <c r="D56" s="16" t="n">
        <v>83.62</v>
      </c>
      <c r="E56" s="17" t="n">
        <v>60.53</v>
      </c>
      <c r="F56" s="26"/>
      <c r="G56" s="26"/>
      <c r="H56" s="26"/>
      <c r="I56" s="26"/>
      <c r="J56" s="26"/>
      <c r="K56" s="19" t="n">
        <f aca="false">C56*D56</f>
        <v>10034.4</v>
      </c>
      <c r="L56" s="19" t="n">
        <f aca="false">C56*(E56-D56)</f>
        <v>-2770.8</v>
      </c>
      <c r="M56" s="20" t="n">
        <f aca="false">IF(D56=0,"",(E56-D56)/D56)</f>
        <v>-0.276130112413298</v>
      </c>
      <c r="N56" s="21" t="str">
        <f aca="false">IF(G56="","",C56*(G56-D56))</f>
        <v/>
      </c>
      <c r="O56" s="21" t="str">
        <f aca="false">IF(H56="","",C56*(H56-D56))</f>
        <v/>
      </c>
      <c r="P56" s="21" t="str">
        <f aca="false">IF(I56="","",C56*(I56-D56))</f>
        <v/>
      </c>
      <c r="Q56" s="21" t="str">
        <f aca="false">IF(J56="","",C56*(J56-D56))</f>
        <v/>
      </c>
    </row>
    <row r="57" customFormat="false" ht="16.5" hidden="false" customHeight="true" outlineLevel="0" collapsed="false">
      <c r="A57" s="22" t="s">
        <v>156</v>
      </c>
      <c r="B57" s="23" t="s">
        <v>157</v>
      </c>
      <c r="C57" s="24" t="n">
        <v>275</v>
      </c>
      <c r="D57" s="25" t="n">
        <v>202.41</v>
      </c>
      <c r="E57" s="17" t="n">
        <v>27.59</v>
      </c>
      <c r="F57" s="26"/>
      <c r="G57" s="26"/>
      <c r="H57" s="26"/>
      <c r="I57" s="26"/>
      <c r="J57" s="26"/>
      <c r="K57" s="19" t="n">
        <f aca="false">C57*D57</f>
        <v>55662.75</v>
      </c>
      <c r="L57" s="19" t="n">
        <f aca="false">C57*(E57-D57)</f>
        <v>-48075.5</v>
      </c>
      <c r="M57" s="20" t="n">
        <f aca="false">IF(D57=0,"",(E57-D57)/D57)</f>
        <v>-0.863692505311002</v>
      </c>
      <c r="N57" s="27" t="str">
        <f aca="false">IF(G57="","",C57*(G57-D57))</f>
        <v/>
      </c>
      <c r="O57" s="27" t="str">
        <f aca="false">IF(H57="","",C57*(H57-D57))</f>
        <v/>
      </c>
      <c r="P57" s="27" t="str">
        <f aca="false">IF(I57="","",C57*(I57-D57))</f>
        <v/>
      </c>
      <c r="Q57" s="27" t="str">
        <f aca="false">IF(J57="","",C57*(J57-D57))</f>
        <v/>
      </c>
    </row>
    <row r="58" customFormat="false" ht="16.5" hidden="false" customHeight="true" outlineLevel="0" collapsed="false">
      <c r="A58" s="13" t="s">
        <v>158</v>
      </c>
      <c r="B58" s="14" t="s">
        <v>159</v>
      </c>
      <c r="C58" s="15" t="n">
        <v>10</v>
      </c>
      <c r="D58" s="16" t="n">
        <v>970.99</v>
      </c>
      <c r="E58" s="17" t="n">
        <v>524.65</v>
      </c>
      <c r="F58" s="26"/>
      <c r="G58" s="26"/>
      <c r="H58" s="26"/>
      <c r="I58" s="26"/>
      <c r="J58" s="26"/>
      <c r="K58" s="19" t="n">
        <f aca="false">C58*D58</f>
        <v>9709.9</v>
      </c>
      <c r="L58" s="19" t="n">
        <f aca="false">C58*(E58-D58)</f>
        <v>-4463.4</v>
      </c>
      <c r="M58" s="20" t="n">
        <f aca="false">IF(D58=0,"",(E58-D58)/D58)</f>
        <v>-0.459675176881327</v>
      </c>
      <c r="N58" s="21" t="str">
        <f aca="false">IF(G58="","",C58*(G58-D58))</f>
        <v/>
      </c>
      <c r="O58" s="21" t="str">
        <f aca="false">IF(H58="","",C58*(H58-D58))</f>
        <v/>
      </c>
      <c r="P58" s="21" t="str">
        <f aca="false">IF(I58="","",C58*(I58-D58))</f>
        <v/>
      </c>
      <c r="Q58" s="21" t="str">
        <f aca="false">IF(J58="","",C58*(J58-D58))</f>
        <v/>
      </c>
    </row>
    <row r="59" customFormat="false" ht="16.5" hidden="false" customHeight="true" outlineLevel="0" collapsed="false">
      <c r="A59" s="22" t="s">
        <v>160</v>
      </c>
      <c r="B59" s="23" t="s">
        <v>161</v>
      </c>
      <c r="C59" s="24" t="n">
        <v>100</v>
      </c>
      <c r="D59" s="25" t="n">
        <v>390.79</v>
      </c>
      <c r="E59" s="17" t="n">
        <v>394</v>
      </c>
      <c r="F59" s="26"/>
      <c r="G59" s="26"/>
      <c r="H59" s="26"/>
      <c r="I59" s="26"/>
      <c r="J59" s="26"/>
      <c r="K59" s="19" t="n">
        <f aca="false">C59*D59</f>
        <v>39079</v>
      </c>
      <c r="L59" s="19" t="n">
        <f aca="false">C59*(E59-D59)</f>
        <v>320.999999999998</v>
      </c>
      <c r="M59" s="20" t="n">
        <f aca="false">IF(D59=0,"",(E59-D59)/D59)</f>
        <v>0.00821413035133954</v>
      </c>
      <c r="N59" s="27" t="str">
        <f aca="false">IF(G59="","",C59*(G59-D59))</f>
        <v/>
      </c>
      <c r="O59" s="27" t="str">
        <f aca="false">IF(H59="","",C59*(H59-D59))</f>
        <v/>
      </c>
      <c r="P59" s="27" t="str">
        <f aca="false">IF(I59="","",C59*(I59-D59))</f>
        <v/>
      </c>
      <c r="Q59" s="27" t="str">
        <f aca="false">IF(J59="","",C59*(J59-D59))</f>
        <v/>
      </c>
    </row>
    <row r="60" customFormat="false" ht="16.5" hidden="false" customHeight="true" outlineLevel="0" collapsed="false">
      <c r="A60" s="13" t="s">
        <v>162</v>
      </c>
      <c r="B60" s="14" t="s">
        <v>163</v>
      </c>
      <c r="C60" s="15" t="n">
        <v>200</v>
      </c>
      <c r="D60" s="16" t="n">
        <v>245.42</v>
      </c>
      <c r="E60" s="17" t="n">
        <v>230.05</v>
      </c>
      <c r="F60" s="26"/>
      <c r="G60" s="26"/>
      <c r="H60" s="26"/>
      <c r="I60" s="26"/>
      <c r="J60" s="26"/>
      <c r="K60" s="19" t="n">
        <f aca="false">C60*D60</f>
        <v>49084</v>
      </c>
      <c r="L60" s="19" t="n">
        <f aca="false">C60*(E60-D60)</f>
        <v>-3074</v>
      </c>
      <c r="M60" s="20" t="n">
        <f aca="false">IF(D60=0,"",(E60-D60)/D60)</f>
        <v>-0.0626273327357183</v>
      </c>
      <c r="N60" s="21" t="str">
        <f aca="false">IF(G60="","",C60*(G60-D60))</f>
        <v/>
      </c>
      <c r="O60" s="21" t="str">
        <f aca="false">IF(H60="","",C60*(H60-D60))</f>
        <v/>
      </c>
      <c r="P60" s="21" t="str">
        <f aca="false">IF(I60="","",C60*(I60-D60))</f>
        <v/>
      </c>
      <c r="Q60" s="21" t="str">
        <f aca="false">IF(J60="","",C60*(J60-D60))</f>
        <v/>
      </c>
    </row>
    <row r="61" customFormat="false" ht="16.5" hidden="false" customHeight="true" outlineLevel="0" collapsed="false">
      <c r="A61" s="22" t="s">
        <v>164</v>
      </c>
      <c r="B61" s="23" t="s">
        <v>165</v>
      </c>
      <c r="C61" s="24" t="n">
        <v>32</v>
      </c>
      <c r="D61" s="25" t="n">
        <v>305.42</v>
      </c>
      <c r="E61" s="17" t="n">
        <v>178.5</v>
      </c>
      <c r="F61" s="26"/>
      <c r="G61" s="26"/>
      <c r="H61" s="26"/>
      <c r="I61" s="26"/>
      <c r="J61" s="26"/>
      <c r="K61" s="19" t="n">
        <f aca="false">C61*D61</f>
        <v>9773.44</v>
      </c>
      <c r="L61" s="19" t="n">
        <f aca="false">C61*(E61-D61)</f>
        <v>-4061.44</v>
      </c>
      <c r="M61" s="20" t="n">
        <f aca="false">IF(D61=0,"",(E61-D61)/D61)</f>
        <v>-0.415558902494925</v>
      </c>
      <c r="N61" s="27" t="str">
        <f aca="false">IF(G61="","",C61*(G61-D61))</f>
        <v/>
      </c>
      <c r="O61" s="27" t="str">
        <f aca="false">IF(H61="","",C61*(H61-D61))</f>
        <v/>
      </c>
      <c r="P61" s="27" t="str">
        <f aca="false">IF(I61="","",C61*(I61-D61))</f>
        <v/>
      </c>
      <c r="Q61" s="27" t="str">
        <f aca="false">IF(J61="","",C61*(J61-D61))</f>
        <v/>
      </c>
    </row>
    <row r="62" customFormat="false" ht="16.5" hidden="false" customHeight="true" outlineLevel="0" collapsed="false">
      <c r="A62" s="13" t="s">
        <v>166</v>
      </c>
      <c r="B62" s="14" t="s">
        <v>167</v>
      </c>
      <c r="C62" s="15" t="n">
        <v>2590</v>
      </c>
      <c r="D62" s="16" t="n">
        <v>213.94</v>
      </c>
      <c r="E62" s="17" t="n">
        <v>63.47</v>
      </c>
      <c r="F62" s="26"/>
      <c r="G62" s="26"/>
      <c r="H62" s="26"/>
      <c r="I62" s="26"/>
      <c r="J62" s="26"/>
      <c r="K62" s="19" t="n">
        <f aca="false">C62*D62</f>
        <v>554104.6</v>
      </c>
      <c r="L62" s="19" t="n">
        <f aca="false">C62*(E62-D62)</f>
        <v>-389717.3</v>
      </c>
      <c r="M62" s="20" t="n">
        <f aca="false">IF(D62=0,"",(E62-D62)/D62)</f>
        <v>-0.703328035897915</v>
      </c>
      <c r="N62" s="21" t="str">
        <f aca="false">IF(G62="","",C62*(G62-D62))</f>
        <v/>
      </c>
      <c r="O62" s="21" t="str">
        <f aca="false">IF(H62="","",C62*(H62-D62))</f>
        <v/>
      </c>
      <c r="P62" s="21" t="str">
        <f aca="false">IF(I62="","",C62*(I62-D62))</f>
        <v/>
      </c>
      <c r="Q62" s="21" t="str">
        <f aca="false">IF(J62="","",C62*(J62-D62))</f>
        <v/>
      </c>
    </row>
    <row r="63" customFormat="false" ht="16.5" hidden="false" customHeight="true" outlineLevel="0" collapsed="false">
      <c r="A63" s="22" t="s">
        <v>168</v>
      </c>
      <c r="B63" s="23" t="s">
        <v>169</v>
      </c>
      <c r="C63" s="24" t="n">
        <v>500</v>
      </c>
      <c r="D63" s="25" t="n">
        <v>37.38</v>
      </c>
      <c r="E63" s="17" t="n">
        <v>39.74</v>
      </c>
      <c r="F63" s="26"/>
      <c r="G63" s="26"/>
      <c r="H63" s="26"/>
      <c r="I63" s="26"/>
      <c r="J63" s="26"/>
      <c r="K63" s="19" t="n">
        <f aca="false">C63*D63</f>
        <v>18690</v>
      </c>
      <c r="L63" s="19" t="n">
        <f aca="false">C63*(E63-D63)</f>
        <v>1180</v>
      </c>
      <c r="M63" s="20" t="n">
        <f aca="false">IF(D63=0,"",(E63-D63)/D63)</f>
        <v>0.063135366506153</v>
      </c>
      <c r="N63" s="27" t="str">
        <f aca="false">IF(G63="","",C63*(G63-D63))</f>
        <v/>
      </c>
      <c r="O63" s="27" t="str">
        <f aca="false">IF(H63="","",C63*(H63-D63))</f>
        <v/>
      </c>
      <c r="P63" s="27" t="str">
        <f aca="false">IF(I63="","",C63*(I63-D63))</f>
        <v/>
      </c>
      <c r="Q63" s="27" t="str">
        <f aca="false">IF(J63="","",C63*(J63-D63))</f>
        <v/>
      </c>
    </row>
    <row r="64" customFormat="false" ht="16.5" hidden="false" customHeight="true" outlineLevel="0" collapsed="false">
      <c r="A64" s="13" t="s">
        <v>170</v>
      </c>
      <c r="B64" s="14" t="s">
        <v>171</v>
      </c>
      <c r="C64" s="15" t="n">
        <v>175</v>
      </c>
      <c r="D64" s="16" t="n">
        <v>740.69</v>
      </c>
      <c r="E64" s="17" t="n">
        <v>655.95</v>
      </c>
      <c r="F64" s="26"/>
      <c r="G64" s="26"/>
      <c r="H64" s="26"/>
      <c r="I64" s="26"/>
      <c r="J64" s="26"/>
      <c r="K64" s="19" t="n">
        <f aca="false">C64*D64</f>
        <v>129620.75</v>
      </c>
      <c r="L64" s="19" t="n">
        <f aca="false">C64*(E64-D64)</f>
        <v>-14829.5</v>
      </c>
      <c r="M64" s="20" t="n">
        <f aca="false">IF(D64=0,"",(E64-D64)/D64)</f>
        <v>-0.114406836868325</v>
      </c>
      <c r="N64" s="21" t="str">
        <f aca="false">IF(G64="","",C64*(G64-D64))</f>
        <v/>
      </c>
      <c r="O64" s="21" t="str">
        <f aca="false">IF(H64="","",C64*(H64-D64))</f>
        <v/>
      </c>
      <c r="P64" s="21" t="str">
        <f aca="false">IF(I64="","",C64*(I64-D64))</f>
        <v/>
      </c>
      <c r="Q64" s="21" t="str">
        <f aca="false">IF(J64="","",C64*(J64-D64))</f>
        <v/>
      </c>
    </row>
    <row r="65" customFormat="false" ht="16.5" hidden="false" customHeight="true" outlineLevel="0" collapsed="false">
      <c r="A65" s="22" t="s">
        <v>172</v>
      </c>
      <c r="B65" s="23" t="s">
        <v>173</v>
      </c>
      <c r="C65" s="24" t="n">
        <v>150</v>
      </c>
      <c r="D65" s="25" t="n">
        <v>285.66</v>
      </c>
      <c r="E65" s="17" t="n">
        <v>289.4</v>
      </c>
      <c r="F65" s="26"/>
      <c r="G65" s="26"/>
      <c r="H65" s="26"/>
      <c r="I65" s="26"/>
      <c r="J65" s="26"/>
      <c r="K65" s="19" t="n">
        <f aca="false">C65*D65</f>
        <v>42849</v>
      </c>
      <c r="L65" s="19" t="n">
        <f aca="false">C65*(E65-D65)</f>
        <v>560.999999999993</v>
      </c>
      <c r="M65" s="20" t="n">
        <f aca="false">IF(D65=0,"",(E65-D65)/D65)</f>
        <v>0.0130924875726386</v>
      </c>
      <c r="N65" s="27" t="str">
        <f aca="false">IF(G65="","",C65*(G65-D65))</f>
        <v/>
      </c>
      <c r="O65" s="27" t="str">
        <f aca="false">IF(H65="","",C65*(H65-D65))</f>
        <v/>
      </c>
      <c r="P65" s="27" t="str">
        <f aca="false">IF(I65="","",C65*(I65-D65))</f>
        <v/>
      </c>
      <c r="Q65" s="27" t="str">
        <f aca="false">IF(J65="","",C65*(J65-D65))</f>
        <v/>
      </c>
    </row>
    <row r="66" customFormat="false" ht="16.5" hidden="false" customHeight="true" outlineLevel="0" collapsed="false">
      <c r="A66" s="13" t="s">
        <v>174</v>
      </c>
      <c r="B66" s="14" t="s">
        <v>175</v>
      </c>
      <c r="C66" s="15" t="n">
        <v>100</v>
      </c>
      <c r="D66" s="16" t="n">
        <v>251.63</v>
      </c>
      <c r="E66" s="17" t="n">
        <v>165.98</v>
      </c>
      <c r="F66" s="26"/>
      <c r="G66" s="26"/>
      <c r="H66" s="26"/>
      <c r="I66" s="26"/>
      <c r="J66" s="26"/>
      <c r="K66" s="19" t="n">
        <f aca="false">C66*D66</f>
        <v>25163</v>
      </c>
      <c r="L66" s="19" t="n">
        <f aca="false">C66*(E66-D66)</f>
        <v>-8565</v>
      </c>
      <c r="M66" s="20" t="n">
        <f aca="false">IF(D66=0,"",(E66-D66)/D66)</f>
        <v>-0.340380717720463</v>
      </c>
      <c r="N66" s="21" t="str">
        <f aca="false">IF(G66="","",C66*(G66-D66))</f>
        <v/>
      </c>
      <c r="O66" s="21" t="str">
        <f aca="false">IF(H66="","",C66*(H66-D66))</f>
        <v/>
      </c>
      <c r="P66" s="21" t="str">
        <f aca="false">IF(I66="","",C66*(I66-D66))</f>
        <v/>
      </c>
      <c r="Q66" s="21" t="str">
        <f aca="false">IF(J66="","",C66*(J66-D66))</f>
        <v/>
      </c>
    </row>
    <row r="67" customFormat="false" ht="16.5" hidden="false" customHeight="true" outlineLevel="0" collapsed="false">
      <c r="A67" s="22" t="s">
        <v>176</v>
      </c>
      <c r="B67" s="23" t="s">
        <v>177</v>
      </c>
      <c r="C67" s="24" t="n">
        <v>140</v>
      </c>
      <c r="D67" s="25" t="n">
        <v>72.9</v>
      </c>
      <c r="E67" s="17" t="n">
        <v>48.24</v>
      </c>
      <c r="F67" s="26"/>
      <c r="G67" s="26"/>
      <c r="H67" s="26"/>
      <c r="I67" s="26"/>
      <c r="J67" s="26"/>
      <c r="K67" s="19" t="n">
        <f aca="false">C67*D67</f>
        <v>10206</v>
      </c>
      <c r="L67" s="19" t="n">
        <f aca="false">C67*(E67-D67)</f>
        <v>-3452.4</v>
      </c>
      <c r="M67" s="20" t="n">
        <f aca="false">IF(D67=0,"",(E67-D67)/D67)</f>
        <v>-0.338271604938272</v>
      </c>
      <c r="N67" s="27" t="str">
        <f aca="false">IF(G67="","",C67*(G67-D67))</f>
        <v/>
      </c>
      <c r="O67" s="27" t="str">
        <f aca="false">IF(H67="","",C67*(H67-D67))</f>
        <v/>
      </c>
      <c r="P67" s="27" t="str">
        <f aca="false">IF(I67="","",C67*(I67-D67))</f>
        <v/>
      </c>
      <c r="Q67" s="27" t="str">
        <f aca="false">IF(J67="","",C67*(J67-D67))</f>
        <v/>
      </c>
    </row>
    <row r="68" customFormat="false" ht="16.5" hidden="false" customHeight="true" outlineLevel="0" collapsed="false">
      <c r="A68" s="13" t="s">
        <v>178</v>
      </c>
      <c r="B68" s="14" t="s">
        <v>179</v>
      </c>
      <c r="C68" s="15" t="n">
        <v>100</v>
      </c>
      <c r="D68" s="16" t="n">
        <v>365.18</v>
      </c>
      <c r="E68" s="17" t="n">
        <v>515.8</v>
      </c>
      <c r="F68" s="26"/>
      <c r="G68" s="26"/>
      <c r="H68" s="26"/>
      <c r="I68" s="26"/>
      <c r="J68" s="26"/>
      <c r="K68" s="19" t="n">
        <f aca="false">C68*D68</f>
        <v>36518</v>
      </c>
      <c r="L68" s="19" t="n">
        <f aca="false">C68*(E68-D68)</f>
        <v>15062</v>
      </c>
      <c r="M68" s="20" t="n">
        <f aca="false">IF(D68=0,"",(E68-D68)/D68)</f>
        <v>0.412454132208774</v>
      </c>
      <c r="N68" s="21" t="str">
        <f aca="false">IF(G68="","",C68*(G68-D68))</f>
        <v/>
      </c>
      <c r="O68" s="21" t="str">
        <f aca="false">IF(H68="","",C68*(H68-D68))</f>
        <v/>
      </c>
      <c r="P68" s="21" t="str">
        <f aca="false">IF(I68="","",C68*(I68-D68))</f>
        <v/>
      </c>
      <c r="Q68" s="21" t="str">
        <f aca="false">IF(J68="","",C68*(J68-D68))</f>
        <v/>
      </c>
    </row>
    <row r="69" customFormat="false" ht="16.5" hidden="false" customHeight="true" outlineLevel="0" collapsed="false">
      <c r="A69" s="22" t="s">
        <v>180</v>
      </c>
      <c r="B69" s="23" t="s">
        <v>181</v>
      </c>
      <c r="C69" s="24" t="n">
        <v>250</v>
      </c>
      <c r="D69" s="25" t="n">
        <v>202.41</v>
      </c>
      <c r="E69" s="17" t="n">
        <v>172.02</v>
      </c>
      <c r="F69" s="26"/>
      <c r="G69" s="26"/>
      <c r="H69" s="26"/>
      <c r="I69" s="26"/>
      <c r="J69" s="26"/>
      <c r="K69" s="19" t="n">
        <f aca="false">C69*D69</f>
        <v>50602.5</v>
      </c>
      <c r="L69" s="19" t="n">
        <f aca="false">C69*(E69-D69)</f>
        <v>-7597.5</v>
      </c>
      <c r="M69" s="20" t="n">
        <f aca="false">IF(D69=0,"",(E69-D69)/D69)</f>
        <v>-0.150140803319994</v>
      </c>
      <c r="N69" s="27" t="str">
        <f aca="false">IF(G69="","",C69*(G69-D69))</f>
        <v/>
      </c>
      <c r="O69" s="27" t="str">
        <f aca="false">IF(H69="","",C69*(H69-D69))</f>
        <v/>
      </c>
      <c r="P69" s="27" t="str">
        <f aca="false">IF(I69="","",C69*(I69-D69))</f>
        <v/>
      </c>
      <c r="Q69" s="27" t="str">
        <f aca="false">IF(J69="","",C69*(J69-D69))</f>
        <v/>
      </c>
    </row>
    <row r="70" customFormat="false" ht="16.5" hidden="false" customHeight="true" outlineLevel="0" collapsed="false">
      <c r="A70" s="13" t="s">
        <v>182</v>
      </c>
      <c r="B70" s="14" t="s">
        <v>183</v>
      </c>
      <c r="C70" s="15" t="n">
        <v>1000</v>
      </c>
      <c r="D70" s="16" t="n">
        <v>196.55</v>
      </c>
      <c r="E70" s="17" t="n">
        <v>160.94</v>
      </c>
      <c r="F70" s="18" t="n">
        <v>141</v>
      </c>
      <c r="G70" s="18" t="n">
        <v>141</v>
      </c>
      <c r="H70" s="18" t="n">
        <v>212</v>
      </c>
      <c r="I70" s="18" t="n">
        <v>277</v>
      </c>
      <c r="J70" s="18" t="n">
        <v>304</v>
      </c>
      <c r="K70" s="19" t="n">
        <f aca="false">C70*D70</f>
        <v>196550</v>
      </c>
      <c r="L70" s="19" t="n">
        <f aca="false">C70*(E70-D70)</f>
        <v>-35610</v>
      </c>
      <c r="M70" s="20" t="n">
        <f aca="false">IF(D70=0,"",(E70-D70)/D70)</f>
        <v>-0.181175273467311</v>
      </c>
      <c r="N70" s="21" t="n">
        <f aca="false">IF(G70="","",C70*(G70-D70))</f>
        <v>-55550</v>
      </c>
      <c r="O70" s="21" t="n">
        <f aca="false">IF(H70="","",C70*(H70-D70))</f>
        <v>15450</v>
      </c>
      <c r="P70" s="21" t="n">
        <f aca="false">IF(I70="","",C70*(I70-D70))</f>
        <v>80450</v>
      </c>
      <c r="Q70" s="21" t="n">
        <f aca="false">IF(J70="","",C70*(J70-D70))</f>
        <v>107450</v>
      </c>
    </row>
    <row r="71" customFormat="false" ht="16.5" hidden="false" customHeight="true" outlineLevel="0" collapsed="false">
      <c r="A71" s="22" t="s">
        <v>184</v>
      </c>
      <c r="B71" s="23" t="s">
        <v>185</v>
      </c>
      <c r="C71" s="24" t="n">
        <v>200</v>
      </c>
      <c r="D71" s="25" t="n">
        <v>277.54</v>
      </c>
      <c r="E71" s="17" t="n">
        <v>245.1</v>
      </c>
      <c r="F71" s="26"/>
      <c r="G71" s="26"/>
      <c r="H71" s="26"/>
      <c r="I71" s="26"/>
      <c r="J71" s="26"/>
      <c r="K71" s="19" t="n">
        <f aca="false">C71*D71</f>
        <v>55508</v>
      </c>
      <c r="L71" s="19" t="n">
        <f aca="false">C71*(E71-D71)</f>
        <v>-6488.00000000001</v>
      </c>
      <c r="M71" s="20" t="n">
        <f aca="false">IF(D71=0,"",(E71-D71)/D71)</f>
        <v>-0.116884052749153</v>
      </c>
      <c r="N71" s="27" t="str">
        <f aca="false">IF(G71="","",C71*(G71-D71))</f>
        <v/>
      </c>
      <c r="O71" s="27" t="str">
        <f aca="false">IF(H71="","",C71*(H71-D71))</f>
        <v/>
      </c>
      <c r="P71" s="27" t="str">
        <f aca="false">IF(I71="","",C71*(I71-D71))</f>
        <v/>
      </c>
      <c r="Q71" s="27" t="str">
        <f aca="false">IF(J71="","",C71*(J71-D71))</f>
        <v/>
      </c>
    </row>
    <row r="72" customFormat="false" ht="19.5" hidden="false" customHeight="true" outlineLevel="0" collapsed="false">
      <c r="A72" s="28" t="s">
        <v>186</v>
      </c>
      <c r="B72" s="28"/>
      <c r="C72" s="29" t="n">
        <f aca="false">SUM(C4:C71)</f>
        <v>45643</v>
      </c>
      <c r="D72" s="30"/>
      <c r="E72" s="30"/>
      <c r="F72" s="30"/>
      <c r="G72" s="30"/>
      <c r="H72" s="30"/>
      <c r="I72" s="30"/>
      <c r="J72" s="30"/>
      <c r="K72" s="31" t="n">
        <f aca="false">SUM(K4:K71)</f>
        <v>10392640.36</v>
      </c>
      <c r="L72" s="31" t="n">
        <f aca="false">SUM(L4:L71)</f>
        <v>-2028021.09</v>
      </c>
      <c r="M72" s="32" t="n">
        <f aca="false">IF(K72=0,"",L72/K72)</f>
        <v>-0.195140120291818</v>
      </c>
      <c r="N72" s="31" t="n">
        <f aca="false">SUM(N4:N71)</f>
        <v>-612589</v>
      </c>
      <c r="O72" s="31" t="n">
        <f aca="false">SUM(O4:O71)</f>
        <v>-142239</v>
      </c>
      <c r="P72" s="31" t="n">
        <f aca="false">SUM(P4:P71)</f>
        <v>329161</v>
      </c>
      <c r="Q72" s="31" t="n">
        <f aca="false">SUM(Q4:Q71)</f>
        <v>896211</v>
      </c>
    </row>
    <row r="74" customFormat="false" ht="14.25" hidden="false" customHeight="true" outlineLevel="0" collapsed="false">
      <c r="A74" s="33" t="s">
        <v>187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</sheetData>
  <mergeCells count="7">
    <mergeCell ref="A1:Q1"/>
    <mergeCell ref="A2:E2"/>
    <mergeCell ref="F2:J2"/>
    <mergeCell ref="K2:M2"/>
    <mergeCell ref="N2:Q2"/>
    <mergeCell ref="A72:B72"/>
    <mergeCell ref="A74:Q74"/>
  </mergeCells>
  <conditionalFormatting sqref="L4:M7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7" min="4" style="1" width="12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9"/>
    <col collapsed="false" customWidth="true" hidden="false" outlineLevel="0" max="17" min="14" style="1" width="13"/>
  </cols>
  <sheetData>
    <row r="1" customFormat="false" ht="27.75" hidden="false" customHeight="true" outlineLevel="0" collapsed="false">
      <c r="A1" s="34" t="s">
        <v>188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customFormat="false" ht="15.75" hidden="false" customHeight="true" outlineLevel="0" collapsed="false">
      <c r="A2" s="8" t="s">
        <v>30</v>
      </c>
      <c r="B2" s="8"/>
      <c r="C2" s="8"/>
      <c r="D2" s="8"/>
      <c r="E2" s="8"/>
      <c r="F2" s="9" t="s">
        <v>31</v>
      </c>
      <c r="G2" s="9"/>
      <c r="H2" s="9"/>
      <c r="I2" s="9"/>
      <c r="J2" s="9"/>
      <c r="K2" s="10" t="s">
        <v>32</v>
      </c>
      <c r="L2" s="10"/>
      <c r="M2" s="10"/>
      <c r="N2" s="11" t="s">
        <v>33</v>
      </c>
      <c r="O2" s="11"/>
      <c r="P2" s="11"/>
      <c r="Q2" s="11"/>
    </row>
    <row r="3" customFormat="false" ht="30" hidden="false" customHeight="true" outlineLevel="0" collapsed="false">
      <c r="A3" s="12" t="s">
        <v>34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12" t="s">
        <v>40</v>
      </c>
      <c r="H3" s="12" t="s">
        <v>41</v>
      </c>
      <c r="I3" s="12" t="s">
        <v>42</v>
      </c>
      <c r="J3" s="12" t="s">
        <v>43</v>
      </c>
      <c r="K3" s="12" t="s">
        <v>44</v>
      </c>
      <c r="L3" s="12" t="s">
        <v>45</v>
      </c>
      <c r="M3" s="12" t="s">
        <v>46</v>
      </c>
      <c r="N3" s="12" t="s">
        <v>47</v>
      </c>
      <c r="O3" s="12" t="s">
        <v>48</v>
      </c>
      <c r="P3" s="12" t="s">
        <v>49</v>
      </c>
      <c r="Q3" s="12" t="s">
        <v>50</v>
      </c>
    </row>
    <row r="4" customFormat="false" ht="16.5" hidden="false" customHeight="true" outlineLevel="0" collapsed="false">
      <c r="A4" s="13" t="s">
        <v>55</v>
      </c>
      <c r="B4" s="14" t="s">
        <v>56</v>
      </c>
      <c r="C4" s="15" t="n">
        <v>200</v>
      </c>
      <c r="D4" s="16" t="n">
        <v>3563.58</v>
      </c>
      <c r="E4" s="17" t="n">
        <v>2862</v>
      </c>
      <c r="F4" s="18" t="n">
        <v>2658</v>
      </c>
      <c r="G4" s="18" t="n">
        <v>2778</v>
      </c>
      <c r="H4" s="18" t="n">
        <v>3030</v>
      </c>
      <c r="I4" s="18" t="n">
        <v>3500</v>
      </c>
      <c r="J4" s="18" t="n">
        <v>3915</v>
      </c>
      <c r="K4" s="19" t="n">
        <f aca="false">C4*D4</f>
        <v>712716</v>
      </c>
      <c r="L4" s="19" t="n">
        <f aca="false">C4*(E4-D4)</f>
        <v>-140316</v>
      </c>
      <c r="M4" s="20" t="n">
        <f aca="false">IF(D4=0,"",(E4-D4)/D4)</f>
        <v>-0.196875052615628</v>
      </c>
      <c r="N4" s="21" t="n">
        <f aca="false">IF(G4="","",C4*(G4-D4))</f>
        <v>-157116</v>
      </c>
      <c r="O4" s="21" t="n">
        <f aca="false">IF(H4="","",C4*(H4-D4))</f>
        <v>-106716</v>
      </c>
      <c r="P4" s="21" t="n">
        <f aca="false">IF(I4="","",C4*(I4-D4))</f>
        <v>-12716</v>
      </c>
      <c r="Q4" s="21" t="n">
        <f aca="false">IF(J4="","",C4*(J4-D4))</f>
        <v>70284</v>
      </c>
    </row>
    <row r="5" customFormat="false" ht="16.5" hidden="false" customHeight="true" outlineLevel="0" collapsed="false">
      <c r="A5" s="22" t="s">
        <v>57</v>
      </c>
      <c r="B5" s="23" t="s">
        <v>58</v>
      </c>
      <c r="C5" s="24" t="n">
        <v>1000</v>
      </c>
      <c r="D5" s="25" t="n">
        <v>203.66</v>
      </c>
      <c r="E5" s="17" t="n">
        <v>169</v>
      </c>
      <c r="F5" s="26"/>
      <c r="G5" s="26"/>
      <c r="H5" s="26"/>
      <c r="I5" s="26"/>
      <c r="J5" s="26"/>
      <c r="K5" s="19" t="n">
        <f aca="false">C5*D5</f>
        <v>203660</v>
      </c>
      <c r="L5" s="19" t="n">
        <f aca="false">C5*(E5-D5)</f>
        <v>-34660</v>
      </c>
      <c r="M5" s="20" t="n">
        <f aca="false">IF(D5=0,"",(E5-D5)/D5)</f>
        <v>-0.170185603456742</v>
      </c>
      <c r="N5" s="27" t="str">
        <f aca="false">IF(G5="","",C5*(G5-D5))</f>
        <v/>
      </c>
      <c r="O5" s="27" t="str">
        <f aca="false">IF(H5="","",C5*(H5-D5))</f>
        <v/>
      </c>
      <c r="P5" s="27" t="str">
        <f aca="false">IF(I5="","",C5*(I5-D5))</f>
        <v/>
      </c>
      <c r="Q5" s="27" t="str">
        <f aca="false">IF(J5="","",C5*(J5-D5))</f>
        <v/>
      </c>
    </row>
    <row r="6" customFormat="false" ht="16.5" hidden="false" customHeight="true" outlineLevel="0" collapsed="false">
      <c r="A6" s="13" t="s">
        <v>189</v>
      </c>
      <c r="B6" s="14" t="s">
        <v>190</v>
      </c>
      <c r="C6" s="15" t="n">
        <v>400</v>
      </c>
      <c r="D6" s="16" t="n">
        <v>125.01</v>
      </c>
      <c r="E6" s="17" t="n">
        <v>122.9</v>
      </c>
      <c r="F6" s="26"/>
      <c r="G6" s="26"/>
      <c r="H6" s="26"/>
      <c r="I6" s="26"/>
      <c r="J6" s="26"/>
      <c r="K6" s="19" t="n">
        <f aca="false">C6*D6</f>
        <v>50004</v>
      </c>
      <c r="L6" s="19" t="n">
        <f aca="false">C6*(E6-D6)</f>
        <v>-844</v>
      </c>
      <c r="M6" s="20" t="n">
        <f aca="false">IF(D6=0,"",(E6-D6)/D6)</f>
        <v>-0.0168786497080234</v>
      </c>
      <c r="N6" s="21" t="str">
        <f aca="false">IF(G6="","",C6*(G6-D6))</f>
        <v/>
      </c>
      <c r="O6" s="21" t="str">
        <f aca="false">IF(H6="","",C6*(H6-D6))</f>
        <v/>
      </c>
      <c r="P6" s="21" t="str">
        <f aca="false">IF(I6="","",C6*(I6-D6))</f>
        <v/>
      </c>
      <c r="Q6" s="21" t="str">
        <f aca="false">IF(J6="","",C6*(J6-D6))</f>
        <v/>
      </c>
    </row>
    <row r="7" customFormat="false" ht="16.5" hidden="false" customHeight="true" outlineLevel="0" collapsed="false">
      <c r="A7" s="22" t="s">
        <v>191</v>
      </c>
      <c r="B7" s="23" t="s">
        <v>192</v>
      </c>
      <c r="C7" s="24" t="n">
        <v>2500</v>
      </c>
      <c r="D7" s="25" t="n">
        <v>10.54</v>
      </c>
      <c r="E7" s="17" t="n">
        <v>8.19</v>
      </c>
      <c r="F7" s="26"/>
      <c r="G7" s="26"/>
      <c r="H7" s="26"/>
      <c r="I7" s="26"/>
      <c r="J7" s="26"/>
      <c r="K7" s="19" t="n">
        <f aca="false">C7*D7</f>
        <v>26350</v>
      </c>
      <c r="L7" s="19" t="n">
        <f aca="false">C7*(E7-D7)</f>
        <v>-5875</v>
      </c>
      <c r="M7" s="20" t="n">
        <f aca="false">IF(D7=0,"",(E7-D7)/D7)</f>
        <v>-0.222960151802657</v>
      </c>
      <c r="N7" s="27" t="str">
        <f aca="false">IF(G7="","",C7*(G7-D7))</f>
        <v/>
      </c>
      <c r="O7" s="27" t="str">
        <f aca="false">IF(H7="","",C7*(H7-D7))</f>
        <v/>
      </c>
      <c r="P7" s="27" t="str">
        <f aca="false">IF(I7="","",C7*(I7-D7))</f>
        <v/>
      </c>
      <c r="Q7" s="27" t="str">
        <f aca="false">IF(J7="","",C7*(J7-D7))</f>
        <v/>
      </c>
    </row>
    <row r="8" customFormat="false" ht="16.5" hidden="false" customHeight="true" outlineLevel="0" collapsed="false">
      <c r="A8" s="13" t="s">
        <v>193</v>
      </c>
      <c r="B8" s="14" t="s">
        <v>194</v>
      </c>
      <c r="C8" s="15" t="n">
        <v>529</v>
      </c>
      <c r="D8" s="16" t="n">
        <v>568.05</v>
      </c>
      <c r="E8" s="17" t="n">
        <v>430.8</v>
      </c>
      <c r="F8" s="18" t="n">
        <v>410</v>
      </c>
      <c r="G8" s="18" t="n">
        <v>410</v>
      </c>
      <c r="H8" s="18" t="n">
        <v>469</v>
      </c>
      <c r="I8" s="18" t="n">
        <v>586</v>
      </c>
      <c r="J8" s="18" t="n">
        <v>740</v>
      </c>
      <c r="K8" s="19" t="n">
        <f aca="false">C8*D8</f>
        <v>300498.45</v>
      </c>
      <c r="L8" s="19" t="n">
        <f aca="false">C8*(E8-D8)</f>
        <v>-72605.25</v>
      </c>
      <c r="M8" s="20" t="n">
        <f aca="false">IF(D8=0,"",(E8-D8)/D8)</f>
        <v>-0.241616054924742</v>
      </c>
      <c r="N8" s="21" t="n">
        <f aca="false">IF(G8="","",C8*(G8-D8))</f>
        <v>-83608.45</v>
      </c>
      <c r="O8" s="21" t="n">
        <f aca="false">IF(H8="","",C8*(H8-D8))</f>
        <v>-52397.45</v>
      </c>
      <c r="P8" s="21" t="n">
        <f aca="false">IF(I8="","",C8*(I8-D8))</f>
        <v>9495.55000000003</v>
      </c>
      <c r="Q8" s="21" t="n">
        <f aca="false">IF(J8="","",C8*(J8-D8))</f>
        <v>90961.55</v>
      </c>
    </row>
    <row r="9" customFormat="false" ht="16.5" hidden="false" customHeight="true" outlineLevel="0" collapsed="false">
      <c r="A9" s="22" t="s">
        <v>81</v>
      </c>
      <c r="B9" s="23" t="s">
        <v>82</v>
      </c>
      <c r="C9" s="24" t="n">
        <v>200</v>
      </c>
      <c r="D9" s="25" t="n">
        <v>1065.92</v>
      </c>
      <c r="E9" s="17" t="n">
        <v>1103.3</v>
      </c>
      <c r="F9" s="18" t="n">
        <v>538</v>
      </c>
      <c r="G9" s="18" t="n">
        <v>723</v>
      </c>
      <c r="H9" s="18" t="n">
        <v>774</v>
      </c>
      <c r="I9" s="18" t="n">
        <v>954</v>
      </c>
      <c r="J9" s="18" t="n">
        <v>1135</v>
      </c>
      <c r="K9" s="19" t="n">
        <f aca="false">C9*D9</f>
        <v>213184</v>
      </c>
      <c r="L9" s="19" t="n">
        <f aca="false">C9*(E9-D9)</f>
        <v>7475.99999999998</v>
      </c>
      <c r="M9" s="20" t="n">
        <f aca="false">IF(D9=0,"",(E9-D9)/D9)</f>
        <v>0.0350682978084658</v>
      </c>
      <c r="N9" s="27" t="n">
        <f aca="false">IF(G9="","",C9*(G9-D9))</f>
        <v>-68584</v>
      </c>
      <c r="O9" s="27" t="n">
        <f aca="false">IF(H9="","",C9*(H9-D9))</f>
        <v>-58384</v>
      </c>
      <c r="P9" s="27" t="n">
        <f aca="false">IF(I9="","",C9*(I9-D9))</f>
        <v>-22384</v>
      </c>
      <c r="Q9" s="27" t="n">
        <f aca="false">IF(J9="","",C9*(J9-D9))</f>
        <v>13816</v>
      </c>
    </row>
    <row r="10" customFormat="false" ht="16.5" hidden="false" customHeight="true" outlineLevel="0" collapsed="false">
      <c r="A10" s="13" t="s">
        <v>83</v>
      </c>
      <c r="B10" s="14" t="s">
        <v>84</v>
      </c>
      <c r="C10" s="15" t="n">
        <v>15000</v>
      </c>
      <c r="D10" s="16" t="n">
        <v>6.16</v>
      </c>
      <c r="E10" s="17" t="n">
        <v>3.25</v>
      </c>
      <c r="F10" s="26"/>
      <c r="G10" s="26"/>
      <c r="H10" s="26"/>
      <c r="I10" s="26"/>
      <c r="J10" s="26"/>
      <c r="K10" s="19" t="n">
        <f aca="false">C10*D10</f>
        <v>92400</v>
      </c>
      <c r="L10" s="19" t="n">
        <f aca="false">C10*(E10-D10)</f>
        <v>-43650</v>
      </c>
      <c r="M10" s="20" t="n">
        <f aca="false">IF(D10=0,"",(E10-D10)/D10)</f>
        <v>-0.472402597402597</v>
      </c>
      <c r="N10" s="21" t="str">
        <f aca="false">IF(G10="","",C10*(G10-D10))</f>
        <v/>
      </c>
      <c r="O10" s="21" t="str">
        <f aca="false">IF(H10="","",C10*(H10-D10))</f>
        <v/>
      </c>
      <c r="P10" s="21" t="str">
        <f aca="false">IF(I10="","",C10*(I10-D10))</f>
        <v/>
      </c>
      <c r="Q10" s="21" t="str">
        <f aca="false">IF(J10="","",C10*(J10-D10))</f>
        <v/>
      </c>
    </row>
    <row r="11" customFormat="false" ht="16.5" hidden="false" customHeight="true" outlineLevel="0" collapsed="false">
      <c r="A11" s="22" t="s">
        <v>195</v>
      </c>
      <c r="B11" s="23" t="s">
        <v>196</v>
      </c>
      <c r="C11" s="24" t="n">
        <v>1000</v>
      </c>
      <c r="D11" s="25" t="n">
        <v>138.05</v>
      </c>
      <c r="E11" s="17" t="n">
        <v>90</v>
      </c>
      <c r="F11" s="26"/>
      <c r="G11" s="26"/>
      <c r="H11" s="26"/>
      <c r="I11" s="26"/>
      <c r="J11" s="26"/>
      <c r="K11" s="19" t="n">
        <f aca="false">C11*D11</f>
        <v>138050</v>
      </c>
      <c r="L11" s="19" t="n">
        <f aca="false">C11*(E11-D11)</f>
        <v>-48050</v>
      </c>
      <c r="M11" s="20" t="n">
        <f aca="false">IF(D11=0,"",(E11-D11)/D11)</f>
        <v>-0.348062296269468</v>
      </c>
      <c r="N11" s="27" t="str">
        <f aca="false">IF(G11="","",C11*(G11-D11))</f>
        <v/>
      </c>
      <c r="O11" s="27" t="str">
        <f aca="false">IF(H11="","",C11*(H11-D11))</f>
        <v/>
      </c>
      <c r="P11" s="27" t="str">
        <f aca="false">IF(I11="","",C11*(I11-D11))</f>
        <v/>
      </c>
      <c r="Q11" s="27" t="str">
        <f aca="false">IF(J11="","",C11*(J11-D11))</f>
        <v/>
      </c>
    </row>
    <row r="12" customFormat="false" ht="16.5" hidden="false" customHeight="true" outlineLevel="0" collapsed="false">
      <c r="A12" s="13" t="s">
        <v>99</v>
      </c>
      <c r="B12" s="14" t="s">
        <v>100</v>
      </c>
      <c r="C12" s="15" t="n">
        <v>400</v>
      </c>
      <c r="D12" s="16" t="n">
        <v>1205.84</v>
      </c>
      <c r="E12" s="17" t="n">
        <v>1006.35</v>
      </c>
      <c r="F12" s="18" t="n">
        <v>900</v>
      </c>
      <c r="G12" s="18" t="n">
        <v>970</v>
      </c>
      <c r="H12" s="18" t="n">
        <v>1100</v>
      </c>
      <c r="I12" s="18" t="n">
        <v>1200</v>
      </c>
      <c r="J12" s="18" t="n">
        <v>1350</v>
      </c>
      <c r="K12" s="19" t="n">
        <f aca="false">C12*D12</f>
        <v>482336</v>
      </c>
      <c r="L12" s="19" t="n">
        <f aca="false">C12*(E12-D12)</f>
        <v>-79796</v>
      </c>
      <c r="M12" s="20" t="n">
        <f aca="false">IF(D12=0,"",(E12-D12)/D12)</f>
        <v>-0.165436542161481</v>
      </c>
      <c r="N12" s="21" t="n">
        <f aca="false">IF(G12="","",C12*(G12-D12))</f>
        <v>-94336</v>
      </c>
      <c r="O12" s="21" t="n">
        <f aca="false">IF(H12="","",C12*(H12-D12))</f>
        <v>-42336</v>
      </c>
      <c r="P12" s="21" t="n">
        <f aca="false">IF(I12="","",C12*(I12-D12))</f>
        <v>-2335.99999999997</v>
      </c>
      <c r="Q12" s="21" t="n">
        <f aca="false">IF(J12="","",C12*(J12-D12))</f>
        <v>57664</v>
      </c>
    </row>
    <row r="13" customFormat="false" ht="16.5" hidden="false" customHeight="true" outlineLevel="0" collapsed="false">
      <c r="A13" s="22" t="s">
        <v>121</v>
      </c>
      <c r="B13" s="23" t="s">
        <v>122</v>
      </c>
      <c r="C13" s="24" t="n">
        <v>800</v>
      </c>
      <c r="D13" s="25" t="n">
        <v>624.51</v>
      </c>
      <c r="E13" s="17" t="n">
        <v>471.8</v>
      </c>
      <c r="F13" s="18" t="n">
        <v>380</v>
      </c>
      <c r="G13" s="18" t="n">
        <v>380</v>
      </c>
      <c r="H13" s="18" t="n">
        <v>525</v>
      </c>
      <c r="I13" s="18" t="n">
        <v>548</v>
      </c>
      <c r="J13" s="18" t="n">
        <v>740</v>
      </c>
      <c r="K13" s="19" t="n">
        <f aca="false">C13*D13</f>
        <v>499608</v>
      </c>
      <c r="L13" s="19" t="n">
        <f aca="false">C13*(E13-D13)</f>
        <v>-122168</v>
      </c>
      <c r="M13" s="20" t="n">
        <f aca="false">IF(D13=0,"",(E13-D13)/D13)</f>
        <v>-0.244527709724424</v>
      </c>
      <c r="N13" s="27" t="n">
        <f aca="false">IF(G13="","",C13*(G13-D13))</f>
        <v>-195608</v>
      </c>
      <c r="O13" s="27" t="n">
        <f aca="false">IF(H13="","",C13*(H13-D13))</f>
        <v>-79608</v>
      </c>
      <c r="P13" s="27" t="n">
        <f aca="false">IF(I13="","",C13*(I13-D13))</f>
        <v>-61208</v>
      </c>
      <c r="Q13" s="27" t="n">
        <f aca="false">IF(J13="","",C13*(J13-D13))</f>
        <v>92392</v>
      </c>
    </row>
    <row r="14" customFormat="false" ht="16.5" hidden="false" customHeight="true" outlineLevel="0" collapsed="false">
      <c r="A14" s="13" t="s">
        <v>123</v>
      </c>
      <c r="B14" s="14" t="s">
        <v>197</v>
      </c>
      <c r="C14" s="15" t="n">
        <v>2000</v>
      </c>
      <c r="D14" s="16" t="n">
        <v>38.08</v>
      </c>
      <c r="E14" s="17" t="n">
        <v>26.23</v>
      </c>
      <c r="F14" s="26"/>
      <c r="G14" s="26"/>
      <c r="H14" s="26"/>
      <c r="I14" s="26"/>
      <c r="J14" s="26"/>
      <c r="K14" s="19" t="n">
        <f aca="false">C14*D14</f>
        <v>76160</v>
      </c>
      <c r="L14" s="19" t="n">
        <f aca="false">C14*(E14-D14)</f>
        <v>-23700</v>
      </c>
      <c r="M14" s="20" t="n">
        <f aca="false">IF(D14=0,"",(E14-D14)/D14)</f>
        <v>-0.311186974789916</v>
      </c>
      <c r="N14" s="21" t="str">
        <f aca="false">IF(G14="","",C14*(G14-D14))</f>
        <v/>
      </c>
      <c r="O14" s="21" t="str">
        <f aca="false">IF(H14="","",C14*(H14-D14))</f>
        <v/>
      </c>
      <c r="P14" s="21" t="str">
        <f aca="false">IF(I14="","",C14*(I14-D14))</f>
        <v/>
      </c>
      <c r="Q14" s="21" t="str">
        <f aca="false">IF(J14="","",C14*(J14-D14))</f>
        <v/>
      </c>
    </row>
    <row r="15" customFormat="false" ht="16.5" hidden="false" customHeight="true" outlineLevel="0" collapsed="false">
      <c r="A15" s="22" t="s">
        <v>127</v>
      </c>
      <c r="B15" s="23" t="s">
        <v>198</v>
      </c>
      <c r="C15" s="24" t="n">
        <v>100</v>
      </c>
      <c r="D15" s="25" t="n">
        <v>958.18</v>
      </c>
      <c r="E15" s="17" t="n">
        <v>1129</v>
      </c>
      <c r="F15" s="26"/>
      <c r="G15" s="26"/>
      <c r="H15" s="26"/>
      <c r="I15" s="26"/>
      <c r="J15" s="26"/>
      <c r="K15" s="19" t="n">
        <f aca="false">C15*D15</f>
        <v>95818</v>
      </c>
      <c r="L15" s="19" t="n">
        <f aca="false">C15*(E15-D15)</f>
        <v>17082</v>
      </c>
      <c r="M15" s="20" t="n">
        <f aca="false">IF(D15=0,"",(E15-D15)/D15)</f>
        <v>0.178275480598635</v>
      </c>
      <c r="N15" s="27" t="str">
        <f aca="false">IF(G15="","",C15*(G15-D15))</f>
        <v/>
      </c>
      <c r="O15" s="27" t="str">
        <f aca="false">IF(H15="","",C15*(H15-D15))</f>
        <v/>
      </c>
      <c r="P15" s="27" t="str">
        <f aca="false">IF(I15="","",C15*(I15-D15))</f>
        <v/>
      </c>
      <c r="Q15" s="27" t="str">
        <f aca="false">IF(J15="","",C15*(J15-D15))</f>
        <v/>
      </c>
    </row>
    <row r="16" customFormat="false" ht="16.5" hidden="false" customHeight="true" outlineLevel="0" collapsed="false">
      <c r="A16" s="13" t="s">
        <v>199</v>
      </c>
      <c r="B16" s="14" t="s">
        <v>200</v>
      </c>
      <c r="C16" s="15" t="n">
        <v>30</v>
      </c>
      <c r="D16" s="16" t="n">
        <v>831.97</v>
      </c>
      <c r="E16" s="17" t="n">
        <v>549.5</v>
      </c>
      <c r="F16" s="26"/>
      <c r="G16" s="26"/>
      <c r="H16" s="26"/>
      <c r="I16" s="26"/>
      <c r="J16" s="26"/>
      <c r="K16" s="19" t="n">
        <f aca="false">C16*D16</f>
        <v>24959.1</v>
      </c>
      <c r="L16" s="19" t="n">
        <f aca="false">C16*(E16-D16)</f>
        <v>-8474.1</v>
      </c>
      <c r="M16" s="20" t="n">
        <f aca="false">IF(D16=0,"",(E16-D16)/D16)</f>
        <v>-0.33951945382646</v>
      </c>
      <c r="N16" s="21" t="str">
        <f aca="false">IF(G16="","",C16*(G16-D16))</f>
        <v/>
      </c>
      <c r="O16" s="21" t="str">
        <f aca="false">IF(H16="","",C16*(H16-D16))</f>
        <v/>
      </c>
      <c r="P16" s="21" t="str">
        <f aca="false">IF(I16="","",C16*(I16-D16))</f>
        <v/>
      </c>
      <c r="Q16" s="21" t="str">
        <f aca="false">IF(J16="","",C16*(J16-D16))</f>
        <v/>
      </c>
    </row>
    <row r="17" customFormat="false" ht="16.5" hidden="false" customHeight="true" outlineLevel="0" collapsed="false">
      <c r="A17" s="22" t="s">
        <v>132</v>
      </c>
      <c r="B17" s="23" t="s">
        <v>201</v>
      </c>
      <c r="C17" s="24" t="n">
        <v>3500</v>
      </c>
      <c r="D17" s="25" t="n">
        <v>66.58</v>
      </c>
      <c r="E17" s="17" t="n">
        <v>45.75</v>
      </c>
      <c r="F17" s="26"/>
      <c r="G17" s="26"/>
      <c r="H17" s="26"/>
      <c r="I17" s="26"/>
      <c r="J17" s="26"/>
      <c r="K17" s="19" t="n">
        <f aca="false">C17*D17</f>
        <v>233030</v>
      </c>
      <c r="L17" s="19" t="n">
        <f aca="false">C17*(E17-D17)</f>
        <v>-72905</v>
      </c>
      <c r="M17" s="20" t="n">
        <f aca="false">IF(D17=0,"",(E17-D17)/D17)</f>
        <v>-0.312856713727846</v>
      </c>
      <c r="N17" s="27" t="str">
        <f aca="false">IF(G17="","",C17*(G17-D17))</f>
        <v/>
      </c>
      <c r="O17" s="27" t="str">
        <f aca="false">IF(H17="","",C17*(H17-D17))</f>
        <v/>
      </c>
      <c r="P17" s="27" t="str">
        <f aca="false">IF(I17="","",C17*(I17-D17))</f>
        <v/>
      </c>
      <c r="Q17" s="27" t="str">
        <f aca="false">IF(J17="","",C17*(J17-D17))</f>
        <v/>
      </c>
    </row>
    <row r="18" customFormat="false" ht="16.5" hidden="false" customHeight="true" outlineLevel="0" collapsed="false">
      <c r="A18" s="13" t="s">
        <v>134</v>
      </c>
      <c r="B18" s="14" t="s">
        <v>135</v>
      </c>
      <c r="C18" s="15" t="n">
        <v>2600</v>
      </c>
      <c r="D18" s="16" t="n">
        <v>73.06</v>
      </c>
      <c r="E18" s="17" t="n">
        <v>75.02</v>
      </c>
      <c r="F18" s="26"/>
      <c r="G18" s="26"/>
      <c r="H18" s="26"/>
      <c r="I18" s="26"/>
      <c r="J18" s="26"/>
      <c r="K18" s="19" t="n">
        <f aca="false">C18*D18</f>
        <v>189956</v>
      </c>
      <c r="L18" s="19" t="n">
        <f aca="false">C18*(E18-D18)</f>
        <v>5095.99999999998</v>
      </c>
      <c r="M18" s="20" t="n">
        <f aca="false">IF(D18=0,"",(E18-D18)/D18)</f>
        <v>0.0268272652614289</v>
      </c>
      <c r="N18" s="21" t="str">
        <f aca="false">IF(G18="","",C18*(G18-D18))</f>
        <v/>
      </c>
      <c r="O18" s="21" t="str">
        <f aca="false">IF(H18="","",C18*(H18-D18))</f>
        <v/>
      </c>
      <c r="P18" s="21" t="str">
        <f aca="false">IF(I18="","",C18*(I18-D18))</f>
        <v/>
      </c>
      <c r="Q18" s="21" t="str">
        <f aca="false">IF(J18="","",C18*(J18-D18))</f>
        <v/>
      </c>
    </row>
    <row r="19" customFormat="false" ht="16.5" hidden="false" customHeight="true" outlineLevel="0" collapsed="false">
      <c r="A19" s="22" t="s">
        <v>202</v>
      </c>
      <c r="B19" s="23" t="s">
        <v>203</v>
      </c>
      <c r="C19" s="24" t="n">
        <v>1000</v>
      </c>
      <c r="D19" s="25" t="n">
        <v>216.99</v>
      </c>
      <c r="E19" s="17" t="n">
        <v>127.97</v>
      </c>
      <c r="F19" s="26"/>
      <c r="G19" s="26"/>
      <c r="H19" s="26"/>
      <c r="I19" s="26"/>
      <c r="J19" s="26"/>
      <c r="K19" s="19" t="n">
        <f aca="false">C19*D19</f>
        <v>216990</v>
      </c>
      <c r="L19" s="19" t="n">
        <f aca="false">C19*(E19-D19)</f>
        <v>-89020</v>
      </c>
      <c r="M19" s="20" t="n">
        <f aca="false">IF(D19=0,"",(E19-D19)/D19)</f>
        <v>-0.410249320245173</v>
      </c>
      <c r="N19" s="27" t="str">
        <f aca="false">IF(G19="","",C19*(G19-D19))</f>
        <v/>
      </c>
      <c r="O19" s="27" t="str">
        <f aca="false">IF(H19="","",C19*(H19-D19))</f>
        <v/>
      </c>
      <c r="P19" s="27" t="str">
        <f aca="false">IF(I19="","",C19*(I19-D19))</f>
        <v/>
      </c>
      <c r="Q19" s="27" t="str">
        <f aca="false">IF(J19="","",C19*(J19-D19))</f>
        <v/>
      </c>
    </row>
    <row r="20" customFormat="false" ht="16.5" hidden="false" customHeight="true" outlineLevel="0" collapsed="false">
      <c r="A20" s="13" t="s">
        <v>152</v>
      </c>
      <c r="B20" s="14" t="s">
        <v>153</v>
      </c>
      <c r="C20" s="15" t="n">
        <v>3000</v>
      </c>
      <c r="D20" s="16" t="n">
        <v>446.56</v>
      </c>
      <c r="E20" s="17" t="n">
        <v>497.7</v>
      </c>
      <c r="F20" s="18" t="n">
        <v>350</v>
      </c>
      <c r="G20" s="18" t="n">
        <v>409</v>
      </c>
      <c r="H20" s="18" t="n">
        <v>494</v>
      </c>
      <c r="I20" s="18" t="n">
        <v>524</v>
      </c>
      <c r="J20" s="18" t="n">
        <v>669</v>
      </c>
      <c r="K20" s="19" t="n">
        <f aca="false">C20*D20</f>
        <v>1339680</v>
      </c>
      <c r="L20" s="19" t="n">
        <f aca="false">C20*(E20-D20)</f>
        <v>153420</v>
      </c>
      <c r="M20" s="20" t="n">
        <f aca="false">IF(D20=0,"",(E20-D20)/D20)</f>
        <v>0.114519885345754</v>
      </c>
      <c r="N20" s="21" t="n">
        <f aca="false">IF(G20="","",C20*(G20-D20))</f>
        <v>-112680</v>
      </c>
      <c r="O20" s="21" t="n">
        <f aca="false">IF(H20="","",C20*(H20-D20))</f>
        <v>142320</v>
      </c>
      <c r="P20" s="21" t="n">
        <f aca="false">IF(I20="","",C20*(I20-D20))</f>
        <v>232320</v>
      </c>
      <c r="Q20" s="21" t="n">
        <f aca="false">IF(J20="","",C20*(J20-D20))</f>
        <v>667320</v>
      </c>
    </row>
    <row r="21" customFormat="false" ht="16.5" hidden="false" customHeight="true" outlineLevel="0" collapsed="false">
      <c r="A21" s="22" t="s">
        <v>204</v>
      </c>
      <c r="B21" s="23" t="s">
        <v>205</v>
      </c>
      <c r="C21" s="24" t="n">
        <v>1500</v>
      </c>
      <c r="D21" s="25" t="n">
        <v>32</v>
      </c>
      <c r="E21" s="17" t="n">
        <v>21.15</v>
      </c>
      <c r="F21" s="26"/>
      <c r="G21" s="26"/>
      <c r="H21" s="26"/>
      <c r="I21" s="26"/>
      <c r="J21" s="26"/>
      <c r="K21" s="19" t="n">
        <f aca="false">C21*D21</f>
        <v>48000</v>
      </c>
      <c r="L21" s="19" t="n">
        <f aca="false">C21*(E21-D21)</f>
        <v>-16275</v>
      </c>
      <c r="M21" s="20" t="n">
        <f aca="false">IF(D21=0,"",(E21-D21)/D21)</f>
        <v>-0.3390625</v>
      </c>
      <c r="N21" s="27" t="str">
        <f aca="false">IF(G21="","",C21*(G21-D21))</f>
        <v/>
      </c>
      <c r="O21" s="27" t="str">
        <f aca="false">IF(H21="","",C21*(H21-D21))</f>
        <v/>
      </c>
      <c r="P21" s="27" t="str">
        <f aca="false">IF(I21="","",C21*(I21-D21))</f>
        <v/>
      </c>
      <c r="Q21" s="27" t="str">
        <f aca="false">IF(J21="","",C21*(J21-D21))</f>
        <v/>
      </c>
    </row>
    <row r="22" customFormat="false" ht="16.5" hidden="false" customHeight="true" outlineLevel="0" collapsed="false">
      <c r="A22" s="13" t="s">
        <v>206</v>
      </c>
      <c r="B22" s="14" t="s">
        <v>207</v>
      </c>
      <c r="C22" s="15" t="n">
        <v>400</v>
      </c>
      <c r="D22" s="16" t="n">
        <v>242.87</v>
      </c>
      <c r="E22" s="17" t="n">
        <v>145.34</v>
      </c>
      <c r="F22" s="26"/>
      <c r="G22" s="26"/>
      <c r="H22" s="26"/>
      <c r="I22" s="26"/>
      <c r="J22" s="26"/>
      <c r="K22" s="19" t="n">
        <f aca="false">C22*D22</f>
        <v>97148</v>
      </c>
      <c r="L22" s="19" t="n">
        <f aca="false">C22*(E22-D22)</f>
        <v>-39012</v>
      </c>
      <c r="M22" s="20" t="n">
        <f aca="false">IF(D22=0,"",(E22-D22)/D22)</f>
        <v>-0.401572857907523</v>
      </c>
      <c r="N22" s="21" t="str">
        <f aca="false">IF(G22="","",C22*(G22-D22))</f>
        <v/>
      </c>
      <c r="O22" s="21" t="str">
        <f aca="false">IF(H22="","",C22*(H22-D22))</f>
        <v/>
      </c>
      <c r="P22" s="21" t="str">
        <f aca="false">IF(I22="","",C22*(I22-D22))</f>
        <v/>
      </c>
      <c r="Q22" s="21" t="str">
        <f aca="false">IF(J22="","",C22*(J22-D22))</f>
        <v/>
      </c>
    </row>
    <row r="23" customFormat="false" ht="16.5" hidden="false" customHeight="true" outlineLevel="0" collapsed="false">
      <c r="A23" s="22" t="s">
        <v>208</v>
      </c>
      <c r="B23" s="23" t="s">
        <v>209</v>
      </c>
      <c r="C23" s="24" t="n">
        <v>20</v>
      </c>
      <c r="D23" s="25" t="n">
        <v>11725.35</v>
      </c>
      <c r="E23" s="17" t="n">
        <v>7222.5</v>
      </c>
      <c r="F23" s="26"/>
      <c r="G23" s="26"/>
      <c r="H23" s="26"/>
      <c r="I23" s="26"/>
      <c r="J23" s="26"/>
      <c r="K23" s="19" t="n">
        <f aca="false">C23*D23</f>
        <v>234507</v>
      </c>
      <c r="L23" s="19" t="n">
        <f aca="false">C23*(E23-D23)</f>
        <v>-90057</v>
      </c>
      <c r="M23" s="20" t="n">
        <f aca="false">IF(D23=0,"",(E23-D23)/D23)</f>
        <v>-0.384026916040886</v>
      </c>
      <c r="N23" s="27" t="str">
        <f aca="false">IF(G23="","",C23*(G23-D23))</f>
        <v/>
      </c>
      <c r="O23" s="27" t="str">
        <f aca="false">IF(H23="","",C23*(H23-D23))</f>
        <v/>
      </c>
      <c r="P23" s="27" t="str">
        <f aca="false">IF(I23="","",C23*(I23-D23))</f>
        <v/>
      </c>
      <c r="Q23" s="27" t="str">
        <f aca="false">IF(J23="","",C23*(J23-D23))</f>
        <v/>
      </c>
    </row>
    <row r="24" customFormat="false" ht="16.5" hidden="false" customHeight="true" outlineLevel="0" collapsed="false">
      <c r="A24" s="13" t="s">
        <v>210</v>
      </c>
      <c r="B24" s="14" t="s">
        <v>211</v>
      </c>
      <c r="C24" s="15" t="n">
        <v>500</v>
      </c>
      <c r="D24" s="16" t="n">
        <v>121.99</v>
      </c>
      <c r="E24" s="17" t="n">
        <v>76.62</v>
      </c>
      <c r="F24" s="26"/>
      <c r="G24" s="26"/>
      <c r="H24" s="26"/>
      <c r="I24" s="26"/>
      <c r="J24" s="26"/>
      <c r="K24" s="19" t="n">
        <f aca="false">C24*D24</f>
        <v>60995</v>
      </c>
      <c r="L24" s="19" t="n">
        <f aca="false">C24*(E24-D24)</f>
        <v>-22685</v>
      </c>
      <c r="M24" s="20" t="n">
        <f aca="false">IF(D24=0,"",(E24-D24)/D24)</f>
        <v>-0.371915730797606</v>
      </c>
      <c r="N24" s="21" t="str">
        <f aca="false">IF(G24="","",C24*(G24-D24))</f>
        <v/>
      </c>
      <c r="O24" s="21" t="str">
        <f aca="false">IF(H24="","",C24*(H24-D24))</f>
        <v/>
      </c>
      <c r="P24" s="21" t="str">
        <f aca="false">IF(I24="","",C24*(I24-D24))</f>
        <v/>
      </c>
      <c r="Q24" s="21" t="str">
        <f aca="false">IF(J24="","",C24*(J24-D24))</f>
        <v/>
      </c>
    </row>
    <row r="25" customFormat="false" ht="16.5" hidden="false" customHeight="true" outlineLevel="0" collapsed="false">
      <c r="A25" s="22" t="s">
        <v>212</v>
      </c>
      <c r="B25" s="23" t="s">
        <v>213</v>
      </c>
      <c r="C25" s="24" t="n">
        <v>300</v>
      </c>
      <c r="D25" s="25" t="n">
        <v>220.73</v>
      </c>
      <c r="E25" s="17" t="n">
        <v>197</v>
      </c>
      <c r="F25" s="26"/>
      <c r="G25" s="26"/>
      <c r="H25" s="26"/>
      <c r="I25" s="26"/>
      <c r="J25" s="26"/>
      <c r="K25" s="19" t="n">
        <f aca="false">C25*D25</f>
        <v>66219</v>
      </c>
      <c r="L25" s="19" t="n">
        <f aca="false">C25*(E25-D25)</f>
        <v>-7119</v>
      </c>
      <c r="M25" s="20" t="n">
        <f aca="false">IF(D25=0,"",(E25-D25)/D25)</f>
        <v>-0.107506908893218</v>
      </c>
      <c r="N25" s="27" t="str">
        <f aca="false">IF(G25="","",C25*(G25-D25))</f>
        <v/>
      </c>
      <c r="O25" s="27" t="str">
        <f aca="false">IF(H25="","",C25*(H25-D25))</f>
        <v/>
      </c>
      <c r="P25" s="27" t="str">
        <f aca="false">IF(I25="","",C25*(I25-D25))</f>
        <v/>
      </c>
      <c r="Q25" s="27" t="str">
        <f aca="false">IF(J25="","",C25*(J25-D25))</f>
        <v/>
      </c>
    </row>
    <row r="26" customFormat="false" ht="19.5" hidden="false" customHeight="true" outlineLevel="0" collapsed="false">
      <c r="A26" s="35" t="s">
        <v>186</v>
      </c>
      <c r="B26" s="35"/>
      <c r="C26" s="29" t="n">
        <f aca="false">SUM(C4:C25)</f>
        <v>36979</v>
      </c>
      <c r="D26" s="30"/>
      <c r="E26" s="30"/>
      <c r="F26" s="30"/>
      <c r="G26" s="30"/>
      <c r="H26" s="30"/>
      <c r="I26" s="30"/>
      <c r="J26" s="30"/>
      <c r="K26" s="31" t="n">
        <f aca="false">SUM(K4:K25)</f>
        <v>5402268.55</v>
      </c>
      <c r="L26" s="31" t="n">
        <f aca="false">SUM(L4:L25)</f>
        <v>-734137.35</v>
      </c>
      <c r="M26" s="32" t="n">
        <f aca="false">IF(K26=0,"",L26/K26)</f>
        <v>-0.135894271675924</v>
      </c>
      <c r="N26" s="31" t="n">
        <f aca="false">SUM(N4:N25)</f>
        <v>-711932.45</v>
      </c>
      <c r="O26" s="31" t="n">
        <f aca="false">SUM(O4:O25)</f>
        <v>-197121.45</v>
      </c>
      <c r="P26" s="31" t="n">
        <f aca="false">SUM(P4:P25)</f>
        <v>143171.55</v>
      </c>
      <c r="Q26" s="31" t="n">
        <f aca="false">SUM(Q4:Q25)</f>
        <v>992437.55</v>
      </c>
    </row>
    <row r="28" customFormat="false" ht="14.25" hidden="false" customHeight="true" outlineLevel="0" collapsed="false">
      <c r="A28" s="33" t="s">
        <v>187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</sheetData>
  <mergeCells count="7">
    <mergeCell ref="A1:Q1"/>
    <mergeCell ref="A2:E2"/>
    <mergeCell ref="F2:J2"/>
    <mergeCell ref="K2:M2"/>
    <mergeCell ref="N2:Q2"/>
    <mergeCell ref="A26:B26"/>
    <mergeCell ref="A28:Q28"/>
  </mergeCells>
  <conditionalFormatting sqref="L4:M2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7" min="4" style="1" width="12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9"/>
    <col collapsed="false" customWidth="true" hidden="false" outlineLevel="0" max="17" min="14" style="1" width="13"/>
  </cols>
  <sheetData>
    <row r="1" customFormat="false" ht="27.75" hidden="false" customHeight="true" outlineLevel="0" collapsed="false">
      <c r="A1" s="36" t="s">
        <v>214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customFormat="false" ht="15.75" hidden="false" customHeight="true" outlineLevel="0" collapsed="false">
      <c r="A2" s="37" t="s">
        <v>30</v>
      </c>
      <c r="B2" s="37"/>
      <c r="C2" s="37"/>
      <c r="D2" s="37"/>
      <c r="E2" s="37"/>
      <c r="F2" s="38" t="s">
        <v>31</v>
      </c>
      <c r="G2" s="38"/>
      <c r="H2" s="38"/>
      <c r="I2" s="38"/>
      <c r="J2" s="38"/>
      <c r="K2" s="39" t="s">
        <v>32</v>
      </c>
      <c r="L2" s="39"/>
      <c r="M2" s="39"/>
      <c r="N2" s="40" t="s">
        <v>33</v>
      </c>
      <c r="O2" s="40"/>
      <c r="P2" s="40"/>
      <c r="Q2" s="40"/>
    </row>
    <row r="3" customFormat="false" ht="30" hidden="false" customHeight="true" outlineLevel="0" collapsed="false">
      <c r="A3" s="41" t="s">
        <v>34</v>
      </c>
      <c r="B3" s="41" t="s">
        <v>35</v>
      </c>
      <c r="C3" s="41" t="s">
        <v>36</v>
      </c>
      <c r="D3" s="41" t="s">
        <v>37</v>
      </c>
      <c r="E3" s="41" t="s">
        <v>38</v>
      </c>
      <c r="F3" s="41" t="s">
        <v>39</v>
      </c>
      <c r="G3" s="41" t="s">
        <v>40</v>
      </c>
      <c r="H3" s="41" t="s">
        <v>41</v>
      </c>
      <c r="I3" s="41" t="s">
        <v>42</v>
      </c>
      <c r="J3" s="41" t="s">
        <v>43</v>
      </c>
      <c r="K3" s="41" t="s">
        <v>44</v>
      </c>
      <c r="L3" s="41" t="s">
        <v>45</v>
      </c>
      <c r="M3" s="41" t="s">
        <v>46</v>
      </c>
      <c r="N3" s="41" t="s">
        <v>47</v>
      </c>
      <c r="O3" s="41" t="s">
        <v>48</v>
      </c>
      <c r="P3" s="41" t="s">
        <v>49</v>
      </c>
      <c r="Q3" s="41" t="s">
        <v>50</v>
      </c>
    </row>
    <row r="4" customFormat="false" ht="16.5" hidden="false" customHeight="true" outlineLevel="0" collapsed="false">
      <c r="A4" s="42" t="s">
        <v>215</v>
      </c>
      <c r="B4" s="43" t="s">
        <v>216</v>
      </c>
      <c r="C4" s="44" t="n">
        <v>62000</v>
      </c>
      <c r="D4" s="45" t="n">
        <v>18.81</v>
      </c>
      <c r="E4" s="46" t="n">
        <v>18.95</v>
      </c>
      <c r="F4" s="18" t="n">
        <v>16</v>
      </c>
      <c r="G4" s="18" t="n">
        <v>18.3</v>
      </c>
      <c r="H4" s="18" t="n">
        <v>21.5</v>
      </c>
      <c r="I4" s="18" t="n">
        <v>24.3</v>
      </c>
      <c r="J4" s="18" t="n">
        <v>26.5</v>
      </c>
      <c r="K4" s="47" t="n">
        <f aca="false">C4*D4</f>
        <v>1166220</v>
      </c>
      <c r="L4" s="47" t="n">
        <f aca="false">C4*(E4-D4)</f>
        <v>8680.00000000004</v>
      </c>
      <c r="M4" s="48" t="n">
        <f aca="false">IF(D4=0,"",(E4-D4)/D4)</f>
        <v>0.00744284954811274</v>
      </c>
      <c r="N4" s="49" t="n">
        <f aca="false">IF(G4="","",C4*(G4-D4))</f>
        <v>-31619.9999999999</v>
      </c>
      <c r="O4" s="49" t="n">
        <f aca="false">IF(H4="","",C4*(H4-D4))</f>
        <v>166780</v>
      </c>
      <c r="P4" s="49" t="n">
        <f aca="false">IF(I4="","",C4*(I4-D4))</f>
        <v>340380</v>
      </c>
      <c r="Q4" s="49" t="n">
        <f aca="false">IF(J4="","",C4*(J4-D4))</f>
        <v>476780</v>
      </c>
    </row>
    <row r="5" customFormat="false" ht="16.5" hidden="false" customHeight="true" outlineLevel="0" collapsed="false">
      <c r="A5" s="50" t="s">
        <v>193</v>
      </c>
      <c r="B5" s="51" t="s">
        <v>194</v>
      </c>
      <c r="C5" s="52" t="n">
        <v>5250</v>
      </c>
      <c r="D5" s="53" t="n">
        <v>412.45</v>
      </c>
      <c r="E5" s="46" t="n">
        <v>412.45</v>
      </c>
      <c r="F5" s="18" t="n">
        <v>410</v>
      </c>
      <c r="G5" s="18" t="n">
        <v>410</v>
      </c>
      <c r="H5" s="18" t="n">
        <v>456</v>
      </c>
      <c r="I5" s="18" t="n">
        <v>580</v>
      </c>
      <c r="J5" s="18" t="n">
        <v>740</v>
      </c>
      <c r="K5" s="47" t="n">
        <f aca="false">C5*D5</f>
        <v>2165362.5</v>
      </c>
      <c r="L5" s="47" t="n">
        <f aca="false">C5*(E5-D5)</f>
        <v>0</v>
      </c>
      <c r="M5" s="48" t="n">
        <f aca="false">IF(D5=0,"",(E5-D5)/D5)</f>
        <v>0</v>
      </c>
      <c r="N5" s="49" t="n">
        <f aca="false">IF(G5="","",C5*(G5-D5))</f>
        <v>-12862.4999999999</v>
      </c>
      <c r="O5" s="49" t="n">
        <f aca="false">IF(H5="","",C5*(H5-D5))</f>
        <v>228637.5</v>
      </c>
      <c r="P5" s="49" t="n">
        <f aca="false">IF(I5="","",C5*(I5-D5))</f>
        <v>879637.5</v>
      </c>
      <c r="Q5" s="49" t="n">
        <f aca="false">IF(J5="","",C5*(J5-D5))</f>
        <v>1719637.5</v>
      </c>
    </row>
    <row r="6" customFormat="false" ht="16.5" hidden="false" customHeight="true" outlineLevel="0" collapsed="false">
      <c r="A6" s="42" t="s">
        <v>81</v>
      </c>
      <c r="B6" s="43" t="s">
        <v>82</v>
      </c>
      <c r="C6" s="44" t="n">
        <v>1000</v>
      </c>
      <c r="D6" s="45" t="n">
        <v>945.7</v>
      </c>
      <c r="E6" s="46" t="n">
        <v>945.7</v>
      </c>
      <c r="F6" s="18" t="n">
        <v>532</v>
      </c>
      <c r="G6" s="18" t="n">
        <v>851</v>
      </c>
      <c r="H6" s="18" t="n">
        <v>1060</v>
      </c>
      <c r="I6" s="18" t="n">
        <v>1135</v>
      </c>
      <c r="J6" s="18" t="n">
        <v>1245</v>
      </c>
      <c r="K6" s="47" t="n">
        <f aca="false">C6*D6</f>
        <v>945700</v>
      </c>
      <c r="L6" s="47" t="n">
        <f aca="false">C6*(E6-D6)</f>
        <v>0</v>
      </c>
      <c r="M6" s="48" t="n">
        <f aca="false">IF(D6=0,"",(E6-D6)/D6)</f>
        <v>0</v>
      </c>
      <c r="N6" s="49" t="n">
        <f aca="false">IF(G6="","",C6*(G6-D6))</f>
        <v>-94700</v>
      </c>
      <c r="O6" s="49" t="n">
        <f aca="false">IF(H6="","",C6*(H6-D6))</f>
        <v>114300</v>
      </c>
      <c r="P6" s="49" t="n">
        <f aca="false">IF(I6="","",C6*(I6-D6))</f>
        <v>189300</v>
      </c>
      <c r="Q6" s="49" t="n">
        <f aca="false">IF(J6="","",C6*(J6-D6))</f>
        <v>299300</v>
      </c>
    </row>
    <row r="7" customFormat="false" ht="16.5" hidden="false" customHeight="true" outlineLevel="0" collapsed="false">
      <c r="A7" s="50" t="s">
        <v>217</v>
      </c>
      <c r="B7" s="51" t="s">
        <v>218</v>
      </c>
      <c r="C7" s="52" t="n">
        <v>800</v>
      </c>
      <c r="D7" s="53" t="n">
        <v>1000</v>
      </c>
      <c r="E7" s="46" t="n">
        <v>1000</v>
      </c>
      <c r="F7" s="18" t="n">
        <v>917</v>
      </c>
      <c r="G7" s="18" t="n">
        <v>970</v>
      </c>
      <c r="H7" s="18" t="n">
        <v>1005</v>
      </c>
      <c r="I7" s="18" t="n">
        <v>1014</v>
      </c>
      <c r="J7" s="18" t="n">
        <v>1141</v>
      </c>
      <c r="K7" s="47" t="n">
        <f aca="false">C7*D7</f>
        <v>800000</v>
      </c>
      <c r="L7" s="47" t="n">
        <f aca="false">C7*(E7-D7)</f>
        <v>0</v>
      </c>
      <c r="M7" s="48" t="n">
        <f aca="false">IF(D7=0,"",(E7-D7)/D7)</f>
        <v>0</v>
      </c>
      <c r="N7" s="49" t="n">
        <f aca="false">IF(G7="","",C7*(G7-D7))</f>
        <v>-24000</v>
      </c>
      <c r="O7" s="49" t="n">
        <f aca="false">IF(H7="","",C7*(H7-D7))</f>
        <v>4000</v>
      </c>
      <c r="P7" s="49" t="n">
        <f aca="false">IF(I7="","",C7*(I7-D7))</f>
        <v>11200</v>
      </c>
      <c r="Q7" s="49" t="n">
        <f aca="false">IF(J7="","",C7*(J7-D7))</f>
        <v>112800</v>
      </c>
    </row>
    <row r="8" customFormat="false" ht="16.5" hidden="false" customHeight="true" outlineLevel="0" collapsed="false">
      <c r="A8" s="42" t="s">
        <v>219</v>
      </c>
      <c r="B8" s="43" t="s">
        <v>220</v>
      </c>
      <c r="C8" s="44" t="n">
        <v>3500</v>
      </c>
      <c r="D8" s="45" t="n">
        <v>32.81</v>
      </c>
      <c r="E8" s="46" t="n">
        <v>32.81</v>
      </c>
      <c r="F8" s="18" t="n">
        <v>32</v>
      </c>
      <c r="G8" s="18" t="n">
        <v>34</v>
      </c>
      <c r="H8" s="18" t="n">
        <v>38</v>
      </c>
      <c r="I8" s="18" t="n">
        <v>50</v>
      </c>
      <c r="J8" s="18" t="n">
        <v>60</v>
      </c>
      <c r="K8" s="47" t="n">
        <f aca="false">C8*D8</f>
        <v>114835</v>
      </c>
      <c r="L8" s="47" t="n">
        <f aca="false">C8*(E8-D8)</f>
        <v>0</v>
      </c>
      <c r="M8" s="48" t="n">
        <f aca="false">IF(D8=0,"",(E8-D8)/D8)</f>
        <v>0</v>
      </c>
      <c r="N8" s="49" t="n">
        <f aca="false">IF(G8="","",C8*(G8-D8))</f>
        <v>4164.99999999999</v>
      </c>
      <c r="O8" s="49" t="n">
        <f aca="false">IF(H8="","",C8*(H8-D8))</f>
        <v>18165</v>
      </c>
      <c r="P8" s="49" t="n">
        <f aca="false">IF(I8="","",C8*(I8-D8))</f>
        <v>60165</v>
      </c>
      <c r="Q8" s="49" t="n">
        <f aca="false">IF(J8="","",C8*(J8-D8))</f>
        <v>95165</v>
      </c>
    </row>
    <row r="9" customFormat="false" ht="16.5" hidden="false" customHeight="true" outlineLevel="0" collapsed="false">
      <c r="A9" s="50" t="s">
        <v>121</v>
      </c>
      <c r="B9" s="51" t="s">
        <v>122</v>
      </c>
      <c r="C9" s="52" t="n">
        <v>1350</v>
      </c>
      <c r="D9" s="53" t="n">
        <v>385.55</v>
      </c>
      <c r="E9" s="46" t="n">
        <v>385.55</v>
      </c>
      <c r="F9" s="18" t="n">
        <v>380</v>
      </c>
      <c r="G9" s="18" t="n">
        <v>380</v>
      </c>
      <c r="H9" s="18" t="n">
        <v>576</v>
      </c>
      <c r="I9" s="18" t="n">
        <v>640</v>
      </c>
      <c r="J9" s="18" t="n">
        <v>740</v>
      </c>
      <c r="K9" s="47" t="n">
        <f aca="false">C9*D9</f>
        <v>520492.5</v>
      </c>
      <c r="L9" s="47" t="n">
        <f aca="false">C9*(E9-D9)</f>
        <v>0</v>
      </c>
      <c r="M9" s="48" t="n">
        <f aca="false">IF(D9=0,"",(E9-D9)/D9)</f>
        <v>0</v>
      </c>
      <c r="N9" s="49" t="n">
        <f aca="false">IF(G9="","",C9*(G9-D9))</f>
        <v>-7492.50000000002</v>
      </c>
      <c r="O9" s="49" t="n">
        <f aca="false">IF(H9="","",C9*(H9-D9))</f>
        <v>257107.5</v>
      </c>
      <c r="P9" s="49" t="n">
        <f aca="false">IF(I9="","",C9*(I9-D9))</f>
        <v>343507.5</v>
      </c>
      <c r="Q9" s="49" t="n">
        <f aca="false">IF(J9="","",C9*(J9-D9))</f>
        <v>478507.5</v>
      </c>
    </row>
    <row r="10" customFormat="false" ht="16.5" hidden="false" customHeight="true" outlineLevel="0" collapsed="false">
      <c r="A10" s="42" t="s">
        <v>221</v>
      </c>
      <c r="B10" s="43" t="s">
        <v>222</v>
      </c>
      <c r="C10" s="44" t="n">
        <v>300</v>
      </c>
      <c r="D10" s="45" t="n">
        <v>117.4</v>
      </c>
      <c r="E10" s="46" t="n">
        <v>117.4</v>
      </c>
      <c r="F10" s="54"/>
      <c r="G10" s="54"/>
      <c r="H10" s="54"/>
      <c r="I10" s="54"/>
      <c r="J10" s="54"/>
      <c r="K10" s="47" t="n">
        <f aca="false">C10*D10</f>
        <v>35220</v>
      </c>
      <c r="L10" s="47" t="n">
        <f aca="false">C10*(E10-D10)</f>
        <v>0</v>
      </c>
      <c r="M10" s="48" t="n">
        <f aca="false">IF(D10=0,"",(E10-D10)/D10)</f>
        <v>0</v>
      </c>
      <c r="N10" s="49" t="str">
        <f aca="false">IF(G10="","",C10*(G10-D10))</f>
        <v/>
      </c>
      <c r="O10" s="49" t="str">
        <f aca="false">IF(H10="","",C10*(H10-D10))</f>
        <v/>
      </c>
      <c r="P10" s="49" t="str">
        <f aca="false">IF(I10="","",C10*(I10-D10))</f>
        <v/>
      </c>
      <c r="Q10" s="49" t="str">
        <f aca="false">IF(J10="","",C10*(J10-D10))</f>
        <v/>
      </c>
    </row>
    <row r="11" customFormat="false" ht="16.5" hidden="false" customHeight="true" outlineLevel="0" collapsed="false">
      <c r="A11" s="50" t="s">
        <v>132</v>
      </c>
      <c r="B11" s="51" t="s">
        <v>133</v>
      </c>
      <c r="C11" s="52" t="n">
        <v>8196</v>
      </c>
      <c r="D11" s="53" t="n">
        <v>34.15</v>
      </c>
      <c r="E11" s="46" t="n">
        <v>34.15</v>
      </c>
      <c r="F11" s="18" t="n">
        <v>22</v>
      </c>
      <c r="G11" s="18" t="n">
        <v>31</v>
      </c>
      <c r="H11" s="18" t="n">
        <v>97</v>
      </c>
      <c r="I11" s="18" t="n">
        <v>112</v>
      </c>
      <c r="J11" s="18" t="n">
        <v>163</v>
      </c>
      <c r="K11" s="47" t="n">
        <f aca="false">C11*D11</f>
        <v>279893.4</v>
      </c>
      <c r="L11" s="47" t="n">
        <f aca="false">C11*(E11-D11)</f>
        <v>0</v>
      </c>
      <c r="M11" s="48" t="n">
        <f aca="false">IF(D11=0,"",(E11-D11)/D11)</f>
        <v>0</v>
      </c>
      <c r="N11" s="49" t="n">
        <f aca="false">IF(G11="","",C11*(G11-D11))</f>
        <v>-25817.4</v>
      </c>
      <c r="O11" s="49" t="n">
        <f aca="false">IF(H11="","",C11*(H11-D11))</f>
        <v>515118.6</v>
      </c>
      <c r="P11" s="49" t="n">
        <f aca="false">IF(I11="","",C11*(I11-D11))</f>
        <v>638058.6</v>
      </c>
      <c r="Q11" s="49" t="n">
        <f aca="false">IF(J11="","",C11*(J11-D11))</f>
        <v>1056054.6</v>
      </c>
    </row>
    <row r="12" customFormat="false" ht="16.5" hidden="false" customHeight="true" outlineLevel="0" collapsed="false">
      <c r="A12" s="42" t="s">
        <v>142</v>
      </c>
      <c r="B12" s="43" t="s">
        <v>143</v>
      </c>
      <c r="C12" s="44" t="n">
        <v>1100</v>
      </c>
      <c r="D12" s="45" t="n">
        <v>684.65</v>
      </c>
      <c r="E12" s="46" t="n">
        <v>684.65</v>
      </c>
      <c r="F12" s="18" t="n">
        <v>620</v>
      </c>
      <c r="G12" s="18" t="n">
        <v>650</v>
      </c>
      <c r="H12" s="18" t="n">
        <v>824</v>
      </c>
      <c r="I12" s="18" t="n">
        <v>1015</v>
      </c>
      <c r="J12" s="18" t="n">
        <v>1049</v>
      </c>
      <c r="K12" s="47" t="n">
        <f aca="false">C12*D12</f>
        <v>753115</v>
      </c>
      <c r="L12" s="47" t="n">
        <f aca="false">C12*(E12-D12)</f>
        <v>0</v>
      </c>
      <c r="M12" s="48" t="n">
        <f aca="false">IF(D12=0,"",(E12-D12)/D12)</f>
        <v>0</v>
      </c>
      <c r="N12" s="49" t="n">
        <f aca="false">IF(G12="","",C12*(G12-D12))</f>
        <v>-38115</v>
      </c>
      <c r="O12" s="49" t="n">
        <f aca="false">IF(H12="","",C12*(H12-D12))</f>
        <v>153285</v>
      </c>
      <c r="P12" s="49" t="n">
        <f aca="false">IF(I12="","",C12*(I12-D12))</f>
        <v>363385</v>
      </c>
      <c r="Q12" s="49" t="n">
        <f aca="false">IF(J12="","",C12*(J12-D12))</f>
        <v>400785</v>
      </c>
    </row>
    <row r="13" customFormat="false" ht="16.5" hidden="false" customHeight="true" outlineLevel="0" collapsed="false">
      <c r="A13" s="50" t="s">
        <v>152</v>
      </c>
      <c r="B13" s="51" t="s">
        <v>153</v>
      </c>
      <c r="C13" s="52" t="n">
        <v>4000</v>
      </c>
      <c r="D13" s="53" t="n">
        <v>421.2</v>
      </c>
      <c r="E13" s="46" t="n">
        <v>421.2</v>
      </c>
      <c r="F13" s="18" t="n">
        <v>295</v>
      </c>
      <c r="G13" s="18" t="n">
        <v>409</v>
      </c>
      <c r="H13" s="18" t="n">
        <v>494</v>
      </c>
      <c r="I13" s="18" t="n">
        <v>524</v>
      </c>
      <c r="J13" s="18" t="n">
        <v>669</v>
      </c>
      <c r="K13" s="47" t="n">
        <f aca="false">C13*D13</f>
        <v>1684800</v>
      </c>
      <c r="L13" s="47" t="n">
        <f aca="false">C13*(E13-D13)</f>
        <v>0</v>
      </c>
      <c r="M13" s="48" t="n">
        <f aca="false">IF(D13=0,"",(E13-D13)/D13)</f>
        <v>0</v>
      </c>
      <c r="N13" s="49" t="n">
        <f aca="false">IF(G13="","",C13*(G13-D13))</f>
        <v>-48800</v>
      </c>
      <c r="O13" s="49" t="n">
        <f aca="false">IF(H13="","",C13*(H13-D13))</f>
        <v>291200</v>
      </c>
      <c r="P13" s="49" t="n">
        <f aca="false">IF(I13="","",C13*(I13-D13))</f>
        <v>411200</v>
      </c>
      <c r="Q13" s="49" t="n">
        <f aca="false">IF(J13="","",C13*(J13-D13))</f>
        <v>991200</v>
      </c>
    </row>
    <row r="14" customFormat="false" ht="16.5" hidden="false" customHeight="true" outlineLevel="0" collapsed="false">
      <c r="A14" s="42" t="s">
        <v>223</v>
      </c>
      <c r="B14" s="43" t="s">
        <v>224</v>
      </c>
      <c r="C14" s="44" t="n">
        <v>7500</v>
      </c>
      <c r="D14" s="45" t="n">
        <v>13.07</v>
      </c>
      <c r="E14" s="46" t="n">
        <v>13.07</v>
      </c>
      <c r="F14" s="54"/>
      <c r="G14" s="54"/>
      <c r="H14" s="54"/>
      <c r="I14" s="54"/>
      <c r="J14" s="54"/>
      <c r="K14" s="47" t="n">
        <f aca="false">C14*D14</f>
        <v>98025</v>
      </c>
      <c r="L14" s="47" t="n">
        <f aca="false">C14*(E14-D14)</f>
        <v>0</v>
      </c>
      <c r="M14" s="48" t="n">
        <f aca="false">IF(D14=0,"",(E14-D14)/D14)</f>
        <v>0</v>
      </c>
      <c r="N14" s="49" t="str">
        <f aca="false">IF(G14="","",C14*(G14-D14))</f>
        <v/>
      </c>
      <c r="O14" s="49" t="str">
        <f aca="false">IF(H14="","",C14*(H14-D14))</f>
        <v/>
      </c>
      <c r="P14" s="49" t="str">
        <f aca="false">IF(I14="","",C14*(I14-D14))</f>
        <v/>
      </c>
      <c r="Q14" s="49" t="str">
        <f aca="false">IF(J14="","",C14*(J14-D14))</f>
        <v/>
      </c>
    </row>
    <row r="15" customFormat="false" ht="16.5" hidden="false" customHeight="true" outlineLevel="0" collapsed="false">
      <c r="A15" s="50" t="s">
        <v>204</v>
      </c>
      <c r="B15" s="51" t="s">
        <v>205</v>
      </c>
      <c r="C15" s="52" t="n">
        <v>2000</v>
      </c>
      <c r="D15" s="53" t="n">
        <v>18.61</v>
      </c>
      <c r="E15" s="46" t="n">
        <v>18.61</v>
      </c>
      <c r="F15" s="54"/>
      <c r="G15" s="54"/>
      <c r="H15" s="54"/>
      <c r="I15" s="54"/>
      <c r="J15" s="54"/>
      <c r="K15" s="47" t="n">
        <f aca="false">C15*D15</f>
        <v>37220</v>
      </c>
      <c r="L15" s="47" t="n">
        <f aca="false">C15*(E15-D15)</f>
        <v>0</v>
      </c>
      <c r="M15" s="48" t="n">
        <f aca="false">IF(D15=0,"",(E15-D15)/D15)</f>
        <v>0</v>
      </c>
      <c r="N15" s="49" t="str">
        <f aca="false">IF(G15="","",C15*(G15-D15))</f>
        <v/>
      </c>
      <c r="O15" s="49" t="str">
        <f aca="false">IF(H15="","",C15*(H15-D15))</f>
        <v/>
      </c>
      <c r="P15" s="49" t="str">
        <f aca="false">IF(I15="","",C15*(I15-D15))</f>
        <v/>
      </c>
      <c r="Q15" s="49" t="str">
        <f aca="false">IF(J15="","",C15*(J15-D15))</f>
        <v/>
      </c>
    </row>
    <row r="16" customFormat="false" ht="16.5" hidden="false" customHeight="true" outlineLevel="0" collapsed="false">
      <c r="A16" s="42" t="s">
        <v>225</v>
      </c>
      <c r="B16" s="43" t="s">
        <v>226</v>
      </c>
      <c r="C16" s="44" t="n">
        <v>200</v>
      </c>
      <c r="D16" s="45" t="n">
        <v>984.95</v>
      </c>
      <c r="E16" s="46" t="n">
        <v>984.95</v>
      </c>
      <c r="F16" s="54"/>
      <c r="G16" s="54"/>
      <c r="H16" s="54"/>
      <c r="I16" s="54"/>
      <c r="J16" s="54"/>
      <c r="K16" s="47" t="n">
        <f aca="false">C16*D16</f>
        <v>196990</v>
      </c>
      <c r="L16" s="47" t="n">
        <f aca="false">C16*(E16-D16)</f>
        <v>0</v>
      </c>
      <c r="M16" s="48" t="n">
        <f aca="false">IF(D16=0,"",(E16-D16)/D16)</f>
        <v>0</v>
      </c>
      <c r="N16" s="49" t="str">
        <f aca="false">IF(G16="","",C16*(G16-D16))</f>
        <v/>
      </c>
      <c r="O16" s="49" t="str">
        <f aca="false">IF(H16="","",C16*(H16-D16))</f>
        <v/>
      </c>
      <c r="P16" s="49" t="str">
        <f aca="false">IF(I16="","",C16*(I16-D16))</f>
        <v/>
      </c>
      <c r="Q16" s="49" t="str">
        <f aca="false">IF(J16="","",C16*(J16-D16))</f>
        <v/>
      </c>
    </row>
    <row r="17" customFormat="false" ht="16.5" hidden="false" customHeight="true" outlineLevel="0" collapsed="false">
      <c r="A17" s="50" t="s">
        <v>182</v>
      </c>
      <c r="B17" s="51" t="s">
        <v>183</v>
      </c>
      <c r="C17" s="52" t="n">
        <v>2400</v>
      </c>
      <c r="D17" s="53" t="n">
        <v>160.85</v>
      </c>
      <c r="E17" s="46" t="n">
        <v>160.85</v>
      </c>
      <c r="F17" s="18" t="n">
        <v>141</v>
      </c>
      <c r="G17" s="18" t="n">
        <v>141</v>
      </c>
      <c r="H17" s="18" t="n">
        <v>212</v>
      </c>
      <c r="I17" s="18" t="n">
        <v>277</v>
      </c>
      <c r="J17" s="18" t="n">
        <v>304</v>
      </c>
      <c r="K17" s="47" t="n">
        <f aca="false">C17*D17</f>
        <v>386040</v>
      </c>
      <c r="L17" s="47" t="n">
        <f aca="false">C17*(E17-D17)</f>
        <v>0</v>
      </c>
      <c r="M17" s="48" t="n">
        <f aca="false">IF(D17=0,"",(E17-D17)/D17)</f>
        <v>0</v>
      </c>
      <c r="N17" s="49" t="n">
        <f aca="false">IF(G17="","",C17*(G17-D17))</f>
        <v>-47640</v>
      </c>
      <c r="O17" s="49" t="n">
        <f aca="false">IF(H17="","",C17*(H17-D17))</f>
        <v>122760</v>
      </c>
      <c r="P17" s="49" t="n">
        <f aca="false">IF(I17="","",C17*(I17-D17))</f>
        <v>278760</v>
      </c>
      <c r="Q17" s="49" t="n">
        <f aca="false">IF(J17="","",C17*(J17-D17))</f>
        <v>343560</v>
      </c>
    </row>
    <row r="18" customFormat="false" ht="19.5" hidden="false" customHeight="true" outlineLevel="0" collapsed="false">
      <c r="A18" s="55" t="s">
        <v>186</v>
      </c>
      <c r="B18" s="55"/>
      <c r="C18" s="56" t="n">
        <f aca="false">SUM(C4:C17)</f>
        <v>99596</v>
      </c>
      <c r="D18" s="57"/>
      <c r="E18" s="57"/>
      <c r="F18" s="57"/>
      <c r="G18" s="57"/>
      <c r="H18" s="57"/>
      <c r="I18" s="57"/>
      <c r="J18" s="57"/>
      <c r="K18" s="58" t="n">
        <f aca="false">SUM(K4:K17)</f>
        <v>9183913.4</v>
      </c>
      <c r="L18" s="58" t="n">
        <f aca="false">SUM(L4:L17)</f>
        <v>8680.00000000004</v>
      </c>
      <c r="M18" s="59" t="n">
        <f aca="false">IF(K18=0,"",L18/K18)</f>
        <v>0.000945130863276654</v>
      </c>
      <c r="N18" s="58" t="n">
        <f aca="false">SUM(N4:N17)</f>
        <v>-326882.4</v>
      </c>
      <c r="O18" s="58" t="n">
        <f aca="false">SUM(O4:O17)</f>
        <v>1871353.6</v>
      </c>
      <c r="P18" s="58" t="n">
        <f aca="false">SUM(P4:P17)</f>
        <v>3515593.6</v>
      </c>
      <c r="Q18" s="58" t="n">
        <f aca="false">SUM(Q4:Q17)</f>
        <v>5973789.6</v>
      </c>
    </row>
    <row r="20" customFormat="false" ht="15" hidden="false" customHeight="true" outlineLevel="0" collapsed="false">
      <c r="A20" s="60" t="s">
        <v>227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</sheetData>
  <mergeCells count="7">
    <mergeCell ref="A1:Q1"/>
    <mergeCell ref="A2:E2"/>
    <mergeCell ref="F2:J2"/>
    <mergeCell ref="K2:M2"/>
    <mergeCell ref="N2:Q2"/>
    <mergeCell ref="A18:B18"/>
    <mergeCell ref="A20:Q20"/>
  </mergeCells>
  <conditionalFormatting sqref="L4:L1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M4:M1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7" min="4" style="1" width="12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2" min="11" style="1" width="14"/>
    <col collapsed="false" customWidth="true" hidden="false" outlineLevel="0" max="13" min="13" style="1" width="9"/>
    <col collapsed="false" customWidth="true" hidden="false" outlineLevel="0" max="17" min="14" style="1" width="13"/>
  </cols>
  <sheetData>
    <row r="1" customFormat="false" ht="27.75" hidden="false" customHeight="true" outlineLevel="0" collapsed="false">
      <c r="A1" s="61" t="s">
        <v>228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customFormat="false" ht="15.75" hidden="false" customHeight="true" outlineLevel="0" collapsed="false">
      <c r="A2" s="37" t="s">
        <v>30</v>
      </c>
      <c r="B2" s="37"/>
      <c r="C2" s="37"/>
      <c r="D2" s="37"/>
      <c r="E2" s="37"/>
      <c r="F2" s="38" t="s">
        <v>31</v>
      </c>
      <c r="G2" s="38"/>
      <c r="H2" s="38"/>
      <c r="I2" s="38"/>
      <c r="J2" s="38"/>
      <c r="K2" s="39" t="s">
        <v>32</v>
      </c>
      <c r="L2" s="39"/>
      <c r="M2" s="39"/>
      <c r="N2" s="40" t="s">
        <v>33</v>
      </c>
      <c r="O2" s="40"/>
      <c r="P2" s="40"/>
      <c r="Q2" s="40"/>
    </row>
    <row r="3" customFormat="false" ht="30" hidden="false" customHeight="true" outlineLevel="0" collapsed="false">
      <c r="A3" s="41" t="s">
        <v>34</v>
      </c>
      <c r="B3" s="41" t="s">
        <v>35</v>
      </c>
      <c r="C3" s="41" t="s">
        <v>36</v>
      </c>
      <c r="D3" s="41" t="s">
        <v>37</v>
      </c>
      <c r="E3" s="41" t="s">
        <v>38</v>
      </c>
      <c r="F3" s="41" t="s">
        <v>39</v>
      </c>
      <c r="G3" s="41" t="s">
        <v>40</v>
      </c>
      <c r="H3" s="41" t="s">
        <v>41</v>
      </c>
      <c r="I3" s="41" t="s">
        <v>42</v>
      </c>
      <c r="J3" s="41" t="s">
        <v>43</v>
      </c>
      <c r="K3" s="41" t="s">
        <v>44</v>
      </c>
      <c r="L3" s="41" t="s">
        <v>45</v>
      </c>
      <c r="M3" s="41" t="s">
        <v>46</v>
      </c>
      <c r="N3" s="41" t="s">
        <v>47</v>
      </c>
      <c r="O3" s="41" t="s">
        <v>48</v>
      </c>
      <c r="P3" s="41" t="s">
        <v>49</v>
      </c>
      <c r="Q3" s="41" t="s">
        <v>50</v>
      </c>
    </row>
    <row r="4" customFormat="false" ht="16.5" hidden="false" customHeight="true" outlineLevel="0" collapsed="false">
      <c r="A4" s="42" t="s">
        <v>229</v>
      </c>
      <c r="B4" s="43" t="s">
        <v>230</v>
      </c>
      <c r="C4" s="44" t="n">
        <v>17</v>
      </c>
      <c r="D4" s="45" t="n">
        <v>5931</v>
      </c>
      <c r="E4" s="46" t="n">
        <v>6280</v>
      </c>
      <c r="F4" s="18" t="n">
        <v>4649</v>
      </c>
      <c r="G4" s="18" t="n">
        <v>5649</v>
      </c>
      <c r="H4" s="18" t="n">
        <v>6260</v>
      </c>
      <c r="I4" s="18" t="n">
        <v>6350</v>
      </c>
      <c r="J4" s="18" t="n">
        <v>6540</v>
      </c>
      <c r="K4" s="47" t="n">
        <f aca="false">C4*D4</f>
        <v>100827</v>
      </c>
      <c r="L4" s="47" t="n">
        <f aca="false">C4*(E4-D4)</f>
        <v>5933</v>
      </c>
      <c r="M4" s="48" t="n">
        <f aca="false">IF(D4=0,"",(E4-D4)/D4)</f>
        <v>0.0588433653684033</v>
      </c>
      <c r="N4" s="49" t="n">
        <f aca="false">IF(G4="","",C4*(G4-D4))</f>
        <v>-4794</v>
      </c>
      <c r="O4" s="49" t="n">
        <f aca="false">IF(H4="","",C4*(H4-D4))</f>
        <v>5593</v>
      </c>
      <c r="P4" s="49" t="n">
        <f aca="false">IF(I4="","",C4*(I4-D4))</f>
        <v>7123</v>
      </c>
      <c r="Q4" s="49" t="n">
        <f aca="false">IF(J4="","",C4*(J4-D4))</f>
        <v>10353</v>
      </c>
    </row>
    <row r="5" customFormat="false" ht="16.5" hidden="false" customHeight="true" outlineLevel="0" collapsed="false">
      <c r="A5" s="50" t="s">
        <v>231</v>
      </c>
      <c r="B5" s="51" t="s">
        <v>232</v>
      </c>
      <c r="C5" s="52" t="n">
        <v>33</v>
      </c>
      <c r="D5" s="53" t="n">
        <v>3027.08</v>
      </c>
      <c r="E5" s="46" t="n">
        <v>3125.2</v>
      </c>
      <c r="F5" s="18" t="n">
        <v>2707</v>
      </c>
      <c r="G5" s="18" t="n">
        <v>2770</v>
      </c>
      <c r="H5" s="18" t="n">
        <v>3248</v>
      </c>
      <c r="I5" s="18" t="n">
        <v>3321</v>
      </c>
      <c r="J5" s="18" t="n">
        <v>3321</v>
      </c>
      <c r="K5" s="47" t="n">
        <f aca="false">C5*D5</f>
        <v>99893.64</v>
      </c>
      <c r="L5" s="47" t="n">
        <f aca="false">C5*(E5-D5)</f>
        <v>3237.96</v>
      </c>
      <c r="M5" s="48" t="n">
        <f aca="false">IF(D5=0,"",(E5-D5)/D5)</f>
        <v>0.0324140756108196</v>
      </c>
      <c r="N5" s="49" t="n">
        <f aca="false">IF(G5="","",C5*(G5-D5))</f>
        <v>-8483.64</v>
      </c>
      <c r="O5" s="49" t="n">
        <f aca="false">IF(H5="","",C5*(H5-D5))</f>
        <v>7290.36</v>
      </c>
      <c r="P5" s="49" t="n">
        <f aca="false">IF(I5="","",C5*(I5-D5))</f>
        <v>9699.36</v>
      </c>
      <c r="Q5" s="49" t="n">
        <f aca="false">IF(J5="","",C5*(J5-D5))</f>
        <v>9699.36</v>
      </c>
    </row>
    <row r="6" customFormat="false" ht="16.5" hidden="false" customHeight="true" outlineLevel="0" collapsed="false">
      <c r="A6" s="42" t="s">
        <v>59</v>
      </c>
      <c r="B6" s="43" t="s">
        <v>60</v>
      </c>
      <c r="C6" s="44" t="n">
        <v>422</v>
      </c>
      <c r="D6" s="45" t="n">
        <v>688.26</v>
      </c>
      <c r="E6" s="46" t="n">
        <v>648.75</v>
      </c>
      <c r="F6" s="18" t="n">
        <v>608</v>
      </c>
      <c r="G6" s="18" t="n">
        <v>579</v>
      </c>
      <c r="H6" s="18" t="n">
        <v>714</v>
      </c>
      <c r="I6" s="18" t="n">
        <v>823</v>
      </c>
      <c r="J6" s="18" t="n">
        <v>862</v>
      </c>
      <c r="K6" s="47" t="n">
        <f aca="false">C6*D6</f>
        <v>290445.72</v>
      </c>
      <c r="L6" s="47" t="n">
        <f aca="false">C6*(E6-D6)</f>
        <v>-16673.22</v>
      </c>
      <c r="M6" s="48" t="n">
        <f aca="false">IF(D6=0,"",(E6-D6)/D6)</f>
        <v>-0.057405631592712</v>
      </c>
      <c r="N6" s="49" t="n">
        <f aca="false">IF(G6="","",C6*(G6-D6))</f>
        <v>-46107.72</v>
      </c>
      <c r="O6" s="49" t="n">
        <f aca="false">IF(H6="","",C6*(H6-D6))</f>
        <v>10862.28</v>
      </c>
      <c r="P6" s="49" t="n">
        <f aca="false">IF(I6="","",C6*(I6-D6))</f>
        <v>56860.28</v>
      </c>
      <c r="Q6" s="49" t="n">
        <f aca="false">IF(J6="","",C6*(J6-D6))</f>
        <v>73318.28</v>
      </c>
    </row>
    <row r="7" customFormat="false" ht="16.5" hidden="false" customHeight="true" outlineLevel="0" collapsed="false">
      <c r="A7" s="50" t="s">
        <v>233</v>
      </c>
      <c r="B7" s="51" t="s">
        <v>234</v>
      </c>
      <c r="C7" s="52" t="n">
        <v>125</v>
      </c>
      <c r="D7" s="53" t="n">
        <v>377.35</v>
      </c>
      <c r="E7" s="46" t="n">
        <v>424.35</v>
      </c>
      <c r="F7" s="54"/>
      <c r="G7" s="54"/>
      <c r="H7" s="54"/>
      <c r="I7" s="54"/>
      <c r="J7" s="54"/>
      <c r="K7" s="47" t="n">
        <f aca="false">C7*D7</f>
        <v>47168.75</v>
      </c>
      <c r="L7" s="47" t="n">
        <f aca="false">C7*(E7-D7)</f>
        <v>5875</v>
      </c>
      <c r="M7" s="48" t="n">
        <f aca="false">IF(D7=0,"",(E7-D7)/D7)</f>
        <v>0.124552802438055</v>
      </c>
      <c r="N7" s="49" t="str">
        <f aca="false">IF(G7="","",C7*(G7-D7))</f>
        <v/>
      </c>
      <c r="O7" s="49" t="str">
        <f aca="false">IF(H7="","",C7*(H7-D7))</f>
        <v/>
      </c>
      <c r="P7" s="49" t="str">
        <f aca="false">IF(I7="","",C7*(I7-D7))</f>
        <v/>
      </c>
      <c r="Q7" s="49" t="str">
        <f aca="false">IF(J7="","",C7*(J7-D7))</f>
        <v/>
      </c>
    </row>
    <row r="8" customFormat="false" ht="16.5" hidden="false" customHeight="true" outlineLevel="0" collapsed="false">
      <c r="A8" s="42" t="s">
        <v>65</v>
      </c>
      <c r="B8" s="43" t="s">
        <v>66</v>
      </c>
      <c r="C8" s="44" t="n">
        <v>120</v>
      </c>
      <c r="D8" s="45" t="n">
        <v>416.98</v>
      </c>
      <c r="E8" s="46" t="n">
        <v>369.55</v>
      </c>
      <c r="F8" s="54"/>
      <c r="G8" s="54"/>
      <c r="H8" s="54"/>
      <c r="I8" s="54"/>
      <c r="J8" s="54"/>
      <c r="K8" s="47" t="n">
        <f aca="false">C8*D8</f>
        <v>50037.6</v>
      </c>
      <c r="L8" s="47" t="n">
        <f aca="false">C8*(E8-D8)</f>
        <v>-5691.6</v>
      </c>
      <c r="M8" s="48" t="n">
        <f aca="false">IF(D8=0,"",(E8-D8)/D8)</f>
        <v>-0.11374646266008</v>
      </c>
      <c r="N8" s="49" t="str">
        <f aca="false">IF(G8="","",C8*(G8-D8))</f>
        <v/>
      </c>
      <c r="O8" s="49" t="str">
        <f aca="false">IF(H8="","",C8*(H8-D8))</f>
        <v/>
      </c>
      <c r="P8" s="49" t="str">
        <f aca="false">IF(I8="","",C8*(I8-D8))</f>
        <v/>
      </c>
      <c r="Q8" s="49" t="str">
        <f aca="false">IF(J8="","",C8*(J8-D8))</f>
        <v/>
      </c>
    </row>
    <row r="9" customFormat="false" ht="16.5" hidden="false" customHeight="true" outlineLevel="0" collapsed="false">
      <c r="A9" s="50" t="s">
        <v>235</v>
      </c>
      <c r="B9" s="51" t="s">
        <v>236</v>
      </c>
      <c r="C9" s="52" t="n">
        <v>71</v>
      </c>
      <c r="D9" s="53" t="n">
        <v>702.26</v>
      </c>
      <c r="E9" s="46" t="n">
        <v>702</v>
      </c>
      <c r="F9" s="18" t="n">
        <v>663</v>
      </c>
      <c r="G9" s="18" t="n">
        <v>650</v>
      </c>
      <c r="H9" s="18" t="n">
        <v>714</v>
      </c>
      <c r="I9" s="18" t="n">
        <v>749</v>
      </c>
      <c r="J9" s="18" t="n">
        <v>766</v>
      </c>
      <c r="K9" s="47" t="n">
        <f aca="false">C9*D9</f>
        <v>49860.46</v>
      </c>
      <c r="L9" s="47" t="n">
        <f aca="false">C9*(E9-D9)</f>
        <v>-18.4599999999994</v>
      </c>
      <c r="M9" s="48" t="n">
        <f aca="false">IF(D9=0,"",(E9-D9)/D9)</f>
        <v>-0.000370233246945563</v>
      </c>
      <c r="N9" s="49" t="n">
        <f aca="false">IF(G9="","",C9*(G9-D9))</f>
        <v>-3710.46</v>
      </c>
      <c r="O9" s="49" t="n">
        <f aca="false">IF(H9="","",C9*(H9-D9))</f>
        <v>833.540000000001</v>
      </c>
      <c r="P9" s="49" t="n">
        <f aca="false">IF(I9="","",C9*(I9-D9))</f>
        <v>3318.54</v>
      </c>
      <c r="Q9" s="49" t="n">
        <f aca="false">IF(J9="","",C9*(J9-D9))</f>
        <v>4525.54</v>
      </c>
    </row>
    <row r="10" customFormat="false" ht="16.5" hidden="false" customHeight="true" outlineLevel="0" collapsed="false">
      <c r="A10" s="42" t="s">
        <v>67</v>
      </c>
      <c r="B10" s="43" t="s">
        <v>237</v>
      </c>
      <c r="C10" s="44" t="n">
        <v>100</v>
      </c>
      <c r="D10" s="45" t="n">
        <v>920.46</v>
      </c>
      <c r="E10" s="46" t="n">
        <v>986.7</v>
      </c>
      <c r="F10" s="18" t="n">
        <v>860</v>
      </c>
      <c r="G10" s="18" t="n">
        <v>760</v>
      </c>
      <c r="H10" s="18" t="n">
        <v>1050</v>
      </c>
      <c r="I10" s="18" t="n">
        <v>1067</v>
      </c>
      <c r="J10" s="18" t="n">
        <v>1067</v>
      </c>
      <c r="K10" s="47" t="n">
        <f aca="false">C10*D10</f>
        <v>92046</v>
      </c>
      <c r="L10" s="47" t="n">
        <f aca="false">C10*(E10-D10)</f>
        <v>6624</v>
      </c>
      <c r="M10" s="48" t="n">
        <f aca="false">IF(D10=0,"",(E10-D10)/D10)</f>
        <v>0.0719640179910045</v>
      </c>
      <c r="N10" s="49" t="n">
        <f aca="false">IF(G10="","",C10*(G10-D10))</f>
        <v>-16046</v>
      </c>
      <c r="O10" s="49" t="n">
        <f aca="false">IF(H10="","",C10*(H10-D10))</f>
        <v>12954</v>
      </c>
      <c r="P10" s="49" t="n">
        <f aca="false">IF(I10="","",C10*(I10-D10))</f>
        <v>14654</v>
      </c>
      <c r="Q10" s="49" t="n">
        <f aca="false">IF(J10="","",C10*(J10-D10))</f>
        <v>14654</v>
      </c>
    </row>
    <row r="11" customFormat="false" ht="16.5" hidden="false" customHeight="true" outlineLevel="0" collapsed="false">
      <c r="A11" s="50" t="s">
        <v>238</v>
      </c>
      <c r="B11" s="51" t="s">
        <v>239</v>
      </c>
      <c r="C11" s="52" t="n">
        <v>1500</v>
      </c>
      <c r="D11" s="53" t="n">
        <v>68.95</v>
      </c>
      <c r="E11" s="46" t="n">
        <v>67.04</v>
      </c>
      <c r="F11" s="18" t="n">
        <v>55.5</v>
      </c>
      <c r="G11" s="18" t="n">
        <v>58.65</v>
      </c>
      <c r="H11" s="18" t="n">
        <v>71.9</v>
      </c>
      <c r="I11" s="18" t="n">
        <v>74.5</v>
      </c>
      <c r="J11" s="18" t="n">
        <v>77</v>
      </c>
      <c r="K11" s="47" t="n">
        <f aca="false">C11*D11</f>
        <v>103425</v>
      </c>
      <c r="L11" s="47" t="n">
        <f aca="false">C11*(E11-D11)</f>
        <v>-2865</v>
      </c>
      <c r="M11" s="48" t="n">
        <f aca="false">IF(D11=0,"",(E11-D11)/D11)</f>
        <v>-0.0277012327773749</v>
      </c>
      <c r="N11" s="49" t="n">
        <f aca="false">IF(G11="","",C11*(G11-D11))</f>
        <v>-15450</v>
      </c>
      <c r="O11" s="49" t="n">
        <f aca="false">IF(H11="","",C11*(H11-D11))</f>
        <v>4425.00000000001</v>
      </c>
      <c r="P11" s="49" t="n">
        <f aca="false">IF(I11="","",C11*(I11-D11))</f>
        <v>8325</v>
      </c>
      <c r="Q11" s="49" t="n">
        <f aca="false">IF(J11="","",C11*(J11-D11))</f>
        <v>12075</v>
      </c>
    </row>
    <row r="12" customFormat="false" ht="16.5" hidden="false" customHeight="true" outlineLevel="0" collapsed="false">
      <c r="A12" s="42" t="s">
        <v>240</v>
      </c>
      <c r="B12" s="43" t="s">
        <v>241</v>
      </c>
      <c r="C12" s="44" t="n">
        <v>60</v>
      </c>
      <c r="D12" s="45" t="n">
        <v>1675.82</v>
      </c>
      <c r="E12" s="46" t="n">
        <v>1536.2</v>
      </c>
      <c r="F12" s="18" t="n">
        <v>1501</v>
      </c>
      <c r="G12" s="18" t="n">
        <v>1464</v>
      </c>
      <c r="H12" s="18" t="n">
        <v>1711</v>
      </c>
      <c r="I12" s="18" t="n">
        <v>1850</v>
      </c>
      <c r="J12" s="18" t="n">
        <v>1850</v>
      </c>
      <c r="K12" s="47" t="n">
        <f aca="false">C12*D12</f>
        <v>100549.2</v>
      </c>
      <c r="L12" s="47" t="n">
        <f aca="false">C12*(E12-D12)</f>
        <v>-8377.19999999999</v>
      </c>
      <c r="M12" s="48" t="n">
        <f aca="false">IF(D12=0,"",(E12-D12)/D12)</f>
        <v>-0.0833144371113842</v>
      </c>
      <c r="N12" s="49" t="n">
        <f aca="false">IF(G12="","",C12*(G12-D12))</f>
        <v>-12709.2</v>
      </c>
      <c r="O12" s="49" t="n">
        <f aca="false">IF(H12="","",C12*(H12-D12))</f>
        <v>2110.8</v>
      </c>
      <c r="P12" s="49" t="n">
        <f aca="false">IF(I12="","",C12*(I12-D12))</f>
        <v>10450.8</v>
      </c>
      <c r="Q12" s="49" t="n">
        <f aca="false">IF(J12="","",C12*(J12-D12))</f>
        <v>10450.8</v>
      </c>
    </row>
    <row r="13" customFormat="false" ht="16.5" hidden="false" customHeight="true" outlineLevel="0" collapsed="false">
      <c r="A13" s="50" t="s">
        <v>242</v>
      </c>
      <c r="B13" s="51" t="s">
        <v>243</v>
      </c>
      <c r="C13" s="52" t="n">
        <v>16</v>
      </c>
      <c r="D13" s="53" t="n">
        <v>6165.05</v>
      </c>
      <c r="E13" s="46" t="n">
        <v>5921.5</v>
      </c>
      <c r="F13" s="18" t="n">
        <v>5680</v>
      </c>
      <c r="G13" s="18" t="n">
        <v>5700</v>
      </c>
      <c r="H13" s="18" t="n">
        <v>6148</v>
      </c>
      <c r="I13" s="18" t="n">
        <v>6271</v>
      </c>
      <c r="J13" s="18" t="n">
        <v>6271</v>
      </c>
      <c r="K13" s="47" t="n">
        <f aca="false">C13*D13</f>
        <v>98640.8</v>
      </c>
      <c r="L13" s="47" t="n">
        <f aca="false">C13*(E13-D13)</f>
        <v>-3896.8</v>
      </c>
      <c r="M13" s="48" t="n">
        <f aca="false">IF(D13=0,"",(E13-D13)/D13)</f>
        <v>-0.039504951298043</v>
      </c>
      <c r="N13" s="49" t="n">
        <f aca="false">IF(G13="","",C13*(G13-D13))</f>
        <v>-7440.8</v>
      </c>
      <c r="O13" s="49" t="n">
        <f aca="false">IF(H13="","",C13*(H13-D13))</f>
        <v>-272.800000000003</v>
      </c>
      <c r="P13" s="49" t="n">
        <f aca="false">IF(I13="","",C13*(I13-D13))</f>
        <v>1695.2</v>
      </c>
      <c r="Q13" s="49" t="n">
        <f aca="false">IF(J13="","",C13*(J13-D13))</f>
        <v>1695.2</v>
      </c>
    </row>
    <row r="14" customFormat="false" ht="16.5" hidden="false" customHeight="true" outlineLevel="0" collapsed="false">
      <c r="A14" s="42" t="s">
        <v>244</v>
      </c>
      <c r="B14" s="43" t="s">
        <v>245</v>
      </c>
      <c r="C14" s="44" t="n">
        <v>67</v>
      </c>
      <c r="D14" s="45" t="n">
        <v>1495.43</v>
      </c>
      <c r="E14" s="46" t="n">
        <v>1460.7</v>
      </c>
      <c r="F14" s="54"/>
      <c r="G14" s="54"/>
      <c r="H14" s="54"/>
      <c r="I14" s="54"/>
      <c r="J14" s="54"/>
      <c r="K14" s="47" t="n">
        <f aca="false">C14*D14</f>
        <v>100193.81</v>
      </c>
      <c r="L14" s="47" t="n">
        <f aca="false">C14*(E14-D14)</f>
        <v>-2326.91</v>
      </c>
      <c r="M14" s="48" t="n">
        <f aca="false">IF(D14=0,"",(E14-D14)/D14)</f>
        <v>-0.0232240893923487</v>
      </c>
      <c r="N14" s="49" t="str">
        <f aca="false">IF(G14="","",C14*(G14-D14))</f>
        <v/>
      </c>
      <c r="O14" s="49" t="str">
        <f aca="false">IF(H14="","",C14*(H14-D14))</f>
        <v/>
      </c>
      <c r="P14" s="49" t="str">
        <f aca="false">IF(I14="","",C14*(I14-D14))</f>
        <v/>
      </c>
      <c r="Q14" s="49" t="str">
        <f aca="false">IF(J14="","",C14*(J14-D14))</f>
        <v/>
      </c>
    </row>
    <row r="15" customFormat="false" ht="16.5" hidden="false" customHeight="true" outlineLevel="0" collapsed="false">
      <c r="A15" s="50" t="s">
        <v>246</v>
      </c>
      <c r="B15" s="51" t="s">
        <v>247</v>
      </c>
      <c r="C15" s="52" t="n">
        <v>417</v>
      </c>
      <c r="D15" s="53" t="n">
        <v>242.27</v>
      </c>
      <c r="E15" s="46" t="n">
        <v>228.11</v>
      </c>
      <c r="F15" s="18" t="n">
        <v>219</v>
      </c>
      <c r="G15" s="18" t="n">
        <v>224</v>
      </c>
      <c r="H15" s="18" t="n">
        <v>245</v>
      </c>
      <c r="I15" s="18" t="n">
        <v>245</v>
      </c>
      <c r="J15" s="18" t="n">
        <v>245</v>
      </c>
      <c r="K15" s="47" t="n">
        <f aca="false">C15*D15</f>
        <v>101026.59</v>
      </c>
      <c r="L15" s="47" t="n">
        <f aca="false">C15*(E15-D15)</f>
        <v>-5904.72</v>
      </c>
      <c r="M15" s="48" t="n">
        <f aca="false">IF(D15=0,"",(E15-D15)/D15)</f>
        <v>-0.0584471870227432</v>
      </c>
      <c r="N15" s="49" t="n">
        <f aca="false">IF(G15="","",C15*(G15-D15))</f>
        <v>-7618.59000000001</v>
      </c>
      <c r="O15" s="49" t="n">
        <f aca="false">IF(H15="","",C15*(H15-D15))</f>
        <v>1138.41</v>
      </c>
      <c r="P15" s="49" t="n">
        <f aca="false">IF(I15="","",C15*(I15-D15))</f>
        <v>1138.41</v>
      </c>
      <c r="Q15" s="49" t="n">
        <f aca="false">IF(J15="","",C15*(J15-D15))</f>
        <v>1138.41</v>
      </c>
    </row>
    <row r="16" customFormat="false" ht="16.5" hidden="false" customHeight="true" outlineLevel="0" collapsed="false">
      <c r="A16" s="42" t="s">
        <v>248</v>
      </c>
      <c r="B16" s="43" t="s">
        <v>249</v>
      </c>
      <c r="C16" s="44" t="n">
        <v>250</v>
      </c>
      <c r="D16" s="45" t="n">
        <v>442.47</v>
      </c>
      <c r="E16" s="46" t="n">
        <v>401.3</v>
      </c>
      <c r="F16" s="54"/>
      <c r="G16" s="54"/>
      <c r="H16" s="54"/>
      <c r="I16" s="54"/>
      <c r="J16" s="54"/>
      <c r="K16" s="47" t="n">
        <f aca="false">C16*D16</f>
        <v>110617.5</v>
      </c>
      <c r="L16" s="47" t="n">
        <f aca="false">C16*(E16-D16)</f>
        <v>-10292.5</v>
      </c>
      <c r="M16" s="48" t="n">
        <f aca="false">IF(D16=0,"",(E16-D16)/D16)</f>
        <v>-0.0930458562162407</v>
      </c>
      <c r="N16" s="49" t="str">
        <f aca="false">IF(G16="","",C16*(G16-D16))</f>
        <v/>
      </c>
      <c r="O16" s="49" t="str">
        <f aca="false">IF(H16="","",C16*(H16-D16))</f>
        <v/>
      </c>
      <c r="P16" s="49" t="str">
        <f aca="false">IF(I16="","",C16*(I16-D16))</f>
        <v/>
      </c>
      <c r="Q16" s="49" t="str">
        <f aca="false">IF(J16="","",C16*(J16-D16))</f>
        <v/>
      </c>
    </row>
    <row r="17" customFormat="false" ht="16.5" hidden="false" customHeight="true" outlineLevel="0" collapsed="false">
      <c r="A17" s="50" t="s">
        <v>250</v>
      </c>
      <c r="B17" s="51" t="s">
        <v>251</v>
      </c>
      <c r="C17" s="52" t="n">
        <v>300</v>
      </c>
      <c r="D17" s="53" t="n">
        <v>140.04</v>
      </c>
      <c r="E17" s="46" t="n">
        <v>128.3</v>
      </c>
      <c r="F17" s="54"/>
      <c r="G17" s="54"/>
      <c r="H17" s="54"/>
      <c r="I17" s="54"/>
      <c r="J17" s="54"/>
      <c r="K17" s="47" t="n">
        <f aca="false">C17*D17</f>
        <v>42012</v>
      </c>
      <c r="L17" s="47" t="n">
        <f aca="false">C17*(E17-D17)</f>
        <v>-3521.99999999999</v>
      </c>
      <c r="M17" s="48" t="n">
        <f aca="false">IF(D17=0,"",(E17-D17)/D17)</f>
        <v>-0.083833190516995</v>
      </c>
      <c r="N17" s="49" t="str">
        <f aca="false">IF(G17="","",C17*(G17-D17))</f>
        <v/>
      </c>
      <c r="O17" s="49" t="str">
        <f aca="false">IF(H17="","",C17*(H17-D17))</f>
        <v/>
      </c>
      <c r="P17" s="49" t="str">
        <f aca="false">IF(I17="","",C17*(I17-D17))</f>
        <v/>
      </c>
      <c r="Q17" s="49" t="str">
        <f aca="false">IF(J17="","",C17*(J17-D17))</f>
        <v/>
      </c>
    </row>
    <row r="18" customFormat="false" ht="16.5" hidden="false" customHeight="true" outlineLevel="0" collapsed="false">
      <c r="A18" s="42" t="s">
        <v>91</v>
      </c>
      <c r="B18" s="43" t="s">
        <v>92</v>
      </c>
      <c r="C18" s="44" t="n">
        <v>600</v>
      </c>
      <c r="D18" s="45" t="n">
        <v>166.2</v>
      </c>
      <c r="E18" s="46" t="n">
        <v>168.8</v>
      </c>
      <c r="F18" s="18" t="n">
        <v>154</v>
      </c>
      <c r="G18" s="18" t="n">
        <v>151</v>
      </c>
      <c r="H18" s="18" t="n">
        <v>211</v>
      </c>
      <c r="I18" s="18" t="n">
        <v>241</v>
      </c>
      <c r="J18" s="18" t="n">
        <v>249</v>
      </c>
      <c r="K18" s="47" t="n">
        <f aca="false">C18*D18</f>
        <v>99720</v>
      </c>
      <c r="L18" s="47" t="n">
        <f aca="false">C18*(E18-D18)</f>
        <v>1560.00000000001</v>
      </c>
      <c r="M18" s="48" t="n">
        <f aca="false">IF(D18=0,"",(E18-D18)/D18)</f>
        <v>0.0156438026474129</v>
      </c>
      <c r="N18" s="49" t="n">
        <f aca="false">IF(G18="","",C18*(G18-D18))</f>
        <v>-9119.99999999999</v>
      </c>
      <c r="O18" s="49" t="n">
        <f aca="false">IF(H18="","",C18*(H18-D18))</f>
        <v>26880</v>
      </c>
      <c r="P18" s="49" t="n">
        <f aca="false">IF(I18="","",C18*(I18-D18))</f>
        <v>44880</v>
      </c>
      <c r="Q18" s="49" t="n">
        <f aca="false">IF(J18="","",C18*(J18-D18))</f>
        <v>49680</v>
      </c>
    </row>
    <row r="19" customFormat="false" ht="16.5" hidden="false" customHeight="true" outlineLevel="0" collapsed="false">
      <c r="A19" s="50" t="s">
        <v>252</v>
      </c>
      <c r="B19" s="51" t="s">
        <v>253</v>
      </c>
      <c r="C19" s="52" t="n">
        <v>27</v>
      </c>
      <c r="D19" s="53" t="n">
        <v>3725.31</v>
      </c>
      <c r="E19" s="46" t="n">
        <v>3784.1</v>
      </c>
      <c r="F19" s="54"/>
      <c r="G19" s="54"/>
      <c r="H19" s="54"/>
      <c r="I19" s="54"/>
      <c r="J19" s="54"/>
      <c r="K19" s="47" t="n">
        <f aca="false">C19*D19</f>
        <v>100583.37</v>
      </c>
      <c r="L19" s="47" t="n">
        <f aca="false">C19*(E19-D19)</f>
        <v>1587.33</v>
      </c>
      <c r="M19" s="48" t="n">
        <f aca="false">IF(D19=0,"",(E19-D19)/D19)</f>
        <v>0.0157812369977264</v>
      </c>
      <c r="N19" s="49" t="str">
        <f aca="false">IF(G19="","",C19*(G19-D19))</f>
        <v/>
      </c>
      <c r="O19" s="49" t="str">
        <f aca="false">IF(H19="","",C19*(H19-D19))</f>
        <v/>
      </c>
      <c r="P19" s="49" t="str">
        <f aca="false">IF(I19="","",C19*(I19-D19))</f>
        <v/>
      </c>
      <c r="Q19" s="49" t="str">
        <f aca="false">IF(J19="","",C19*(J19-D19))</f>
        <v/>
      </c>
    </row>
    <row r="20" customFormat="false" ht="16.5" hidden="false" customHeight="true" outlineLevel="0" collapsed="false">
      <c r="A20" s="42" t="s">
        <v>254</v>
      </c>
      <c r="B20" s="43" t="s">
        <v>255</v>
      </c>
      <c r="C20" s="44" t="n">
        <v>100</v>
      </c>
      <c r="D20" s="45" t="n">
        <v>992.34</v>
      </c>
      <c r="E20" s="46" t="n">
        <v>853.45</v>
      </c>
      <c r="F20" s="54"/>
      <c r="G20" s="54"/>
      <c r="H20" s="54"/>
      <c r="I20" s="54"/>
      <c r="J20" s="54"/>
      <c r="K20" s="47" t="n">
        <f aca="false">C20*D20</f>
        <v>99234</v>
      </c>
      <c r="L20" s="47" t="n">
        <f aca="false">C20*(E20-D20)</f>
        <v>-13889</v>
      </c>
      <c r="M20" s="48" t="n">
        <f aca="false">IF(D20=0,"",(E20-D20)/D20)</f>
        <v>-0.139962109760767</v>
      </c>
      <c r="N20" s="49" t="str">
        <f aca="false">IF(G20="","",C20*(G20-D20))</f>
        <v/>
      </c>
      <c r="O20" s="49" t="str">
        <f aca="false">IF(H20="","",C20*(H20-D20))</f>
        <v/>
      </c>
      <c r="P20" s="49" t="str">
        <f aca="false">IF(I20="","",C20*(I20-D20))</f>
        <v/>
      </c>
      <c r="Q20" s="49" t="str">
        <f aca="false">IF(J20="","",C20*(J20-D20))</f>
        <v/>
      </c>
    </row>
    <row r="21" customFormat="false" ht="16.5" hidden="false" customHeight="true" outlineLevel="0" collapsed="false">
      <c r="A21" s="50" t="s">
        <v>103</v>
      </c>
      <c r="B21" s="51" t="s">
        <v>256</v>
      </c>
      <c r="C21" s="52" t="n">
        <v>202</v>
      </c>
      <c r="D21" s="53" t="n">
        <v>480.3</v>
      </c>
      <c r="E21" s="46" t="n">
        <v>447</v>
      </c>
      <c r="F21" s="18" t="n">
        <v>425</v>
      </c>
      <c r="G21" s="18" t="n">
        <v>425</v>
      </c>
      <c r="H21" s="18" t="n">
        <v>486</v>
      </c>
      <c r="I21" s="18" t="n">
        <v>497</v>
      </c>
      <c r="J21" s="18" t="n">
        <v>497</v>
      </c>
      <c r="K21" s="47" t="n">
        <f aca="false">C21*D21</f>
        <v>97020.6</v>
      </c>
      <c r="L21" s="47" t="n">
        <f aca="false">C21*(E21-D21)</f>
        <v>-6726.6</v>
      </c>
      <c r="M21" s="48" t="n">
        <f aca="false">IF(D21=0,"",(E21-D21)/D21)</f>
        <v>-0.0693316677076827</v>
      </c>
      <c r="N21" s="49" t="n">
        <f aca="false">IF(G21="","",C21*(G21-D21))</f>
        <v>-11170.6</v>
      </c>
      <c r="O21" s="49" t="n">
        <f aca="false">IF(H21="","",C21*(H21-D21))</f>
        <v>1151.4</v>
      </c>
      <c r="P21" s="49" t="n">
        <f aca="false">IF(I21="","",C21*(I21-D21))</f>
        <v>3373.4</v>
      </c>
      <c r="Q21" s="49" t="n">
        <f aca="false">IF(J21="","",C21*(J21-D21))</f>
        <v>3373.4</v>
      </c>
    </row>
    <row r="22" customFormat="false" ht="16.5" hidden="false" customHeight="true" outlineLevel="0" collapsed="false">
      <c r="A22" s="42" t="s">
        <v>257</v>
      </c>
      <c r="B22" s="43" t="s">
        <v>258</v>
      </c>
      <c r="C22" s="44" t="n">
        <v>50</v>
      </c>
      <c r="D22" s="45" t="n">
        <v>2189.82</v>
      </c>
      <c r="E22" s="46" t="n">
        <v>2019.9</v>
      </c>
      <c r="F22" s="54"/>
      <c r="G22" s="54"/>
      <c r="H22" s="54"/>
      <c r="I22" s="54"/>
      <c r="J22" s="54"/>
      <c r="K22" s="47" t="n">
        <f aca="false">C22*D22</f>
        <v>109491</v>
      </c>
      <c r="L22" s="47" t="n">
        <f aca="false">C22*(E22-D22)</f>
        <v>-8496</v>
      </c>
      <c r="M22" s="48" t="n">
        <f aca="false">IF(D22=0,"",(E22-D22)/D22)</f>
        <v>-0.0775954188015454</v>
      </c>
      <c r="N22" s="49" t="str">
        <f aca="false">IF(G22="","",C22*(G22-D22))</f>
        <v/>
      </c>
      <c r="O22" s="49" t="str">
        <f aca="false">IF(H22="","",C22*(H22-D22))</f>
        <v/>
      </c>
      <c r="P22" s="49" t="str">
        <f aca="false">IF(I22="","",C22*(I22-D22))</f>
        <v/>
      </c>
      <c r="Q22" s="49" t="str">
        <f aca="false">IF(J22="","",C22*(J22-D22))</f>
        <v/>
      </c>
    </row>
    <row r="23" customFormat="false" ht="16.5" hidden="false" customHeight="true" outlineLevel="0" collapsed="false">
      <c r="A23" s="50" t="s">
        <v>259</v>
      </c>
      <c r="B23" s="51" t="s">
        <v>108</v>
      </c>
      <c r="C23" s="52" t="n">
        <v>559</v>
      </c>
      <c r="D23" s="53" t="n">
        <v>179.03</v>
      </c>
      <c r="E23" s="46" t="n">
        <v>160.63</v>
      </c>
      <c r="F23" s="18" t="n">
        <v>155</v>
      </c>
      <c r="G23" s="18" t="n">
        <v>157</v>
      </c>
      <c r="H23" s="18" t="n">
        <v>176</v>
      </c>
      <c r="I23" s="18" t="n">
        <v>182</v>
      </c>
      <c r="J23" s="18" t="n">
        <v>189</v>
      </c>
      <c r="K23" s="47" t="n">
        <f aca="false">C23*D23</f>
        <v>100077.77</v>
      </c>
      <c r="L23" s="47" t="n">
        <f aca="false">C23*(E23-D23)</f>
        <v>-10285.6</v>
      </c>
      <c r="M23" s="48" t="n">
        <f aca="false">IF(D23=0,"",(E23-D23)/D23)</f>
        <v>-0.102776071049545</v>
      </c>
      <c r="N23" s="49" t="n">
        <f aca="false">IF(G23="","",C23*(G23-D23))</f>
        <v>-12314.77</v>
      </c>
      <c r="O23" s="49" t="n">
        <f aca="false">IF(H23="","",C23*(H23-D23))</f>
        <v>-1693.77</v>
      </c>
      <c r="P23" s="49" t="n">
        <f aca="false">IF(I23="","",C23*(I23-D23))</f>
        <v>1660.23</v>
      </c>
      <c r="Q23" s="49" t="n">
        <f aca="false">IF(J23="","",C23*(J23-D23))</f>
        <v>5573.23</v>
      </c>
    </row>
    <row r="24" customFormat="false" ht="16.5" hidden="false" customHeight="true" outlineLevel="0" collapsed="false">
      <c r="A24" s="42" t="s">
        <v>260</v>
      </c>
      <c r="B24" s="43" t="s">
        <v>261</v>
      </c>
      <c r="C24" s="44" t="n">
        <v>151</v>
      </c>
      <c r="D24" s="45" t="n">
        <v>3146.77</v>
      </c>
      <c r="E24" s="46" t="n">
        <v>3000.2</v>
      </c>
      <c r="F24" s="18" t="n">
        <v>2530</v>
      </c>
      <c r="G24" s="18" t="n">
        <v>2845</v>
      </c>
      <c r="H24" s="18" t="n">
        <v>3094</v>
      </c>
      <c r="I24" s="18" t="n">
        <v>3194</v>
      </c>
      <c r="J24" s="18" t="n">
        <v>3194</v>
      </c>
      <c r="K24" s="47" t="n">
        <f aca="false">C24*D24</f>
        <v>475162.27</v>
      </c>
      <c r="L24" s="47" t="n">
        <f aca="false">C24*(E24-D24)</f>
        <v>-22132.07</v>
      </c>
      <c r="M24" s="48" t="n">
        <f aca="false">IF(D24=0,"",(E24-D24)/D24)</f>
        <v>-0.0465779195810308</v>
      </c>
      <c r="N24" s="49" t="n">
        <f aca="false">IF(G24="","",C24*(G24-D24))</f>
        <v>-45567.27</v>
      </c>
      <c r="O24" s="49" t="n">
        <f aca="false">IF(H24="","",C24*(H24-D24))</f>
        <v>-7968.27</v>
      </c>
      <c r="P24" s="49" t="n">
        <f aca="false">IF(I24="","",C24*(I24-D24))</f>
        <v>7131.73</v>
      </c>
      <c r="Q24" s="49" t="n">
        <f aca="false">IF(J24="","",C24*(J24-D24))</f>
        <v>7131.73</v>
      </c>
    </row>
    <row r="25" customFormat="false" ht="16.5" hidden="false" customHeight="true" outlineLevel="0" collapsed="false">
      <c r="A25" s="50" t="s">
        <v>262</v>
      </c>
      <c r="B25" s="51" t="s">
        <v>263</v>
      </c>
      <c r="C25" s="52" t="n">
        <v>170</v>
      </c>
      <c r="D25" s="53" t="n">
        <v>146.66</v>
      </c>
      <c r="E25" s="46" t="n">
        <v>142.82</v>
      </c>
      <c r="F25" s="54"/>
      <c r="G25" s="54"/>
      <c r="H25" s="54"/>
      <c r="I25" s="54"/>
      <c r="J25" s="54"/>
      <c r="K25" s="47" t="n">
        <f aca="false">C25*D25</f>
        <v>24932.2</v>
      </c>
      <c r="L25" s="47" t="n">
        <f aca="false">C25*(E25-D25)</f>
        <v>-652.800000000001</v>
      </c>
      <c r="M25" s="48" t="n">
        <f aca="false">IF(D25=0,"",(E25-D25)/D25)</f>
        <v>-0.02618300831856</v>
      </c>
      <c r="N25" s="49" t="str">
        <f aca="false">IF(G25="","",C25*(G25-D25))</f>
        <v/>
      </c>
      <c r="O25" s="49" t="str">
        <f aca="false">IF(H25="","",C25*(H25-D25))</f>
        <v/>
      </c>
      <c r="P25" s="49" t="str">
        <f aca="false">IF(I25="","",C25*(I25-D25))</f>
        <v/>
      </c>
      <c r="Q25" s="49" t="str">
        <f aca="false">IF(J25="","",C25*(J25-D25))</f>
        <v/>
      </c>
    </row>
    <row r="26" customFormat="false" ht="16.5" hidden="false" customHeight="true" outlineLevel="0" collapsed="false">
      <c r="A26" s="42" t="s">
        <v>264</v>
      </c>
      <c r="B26" s="43" t="s">
        <v>265</v>
      </c>
      <c r="C26" s="44" t="n">
        <v>130</v>
      </c>
      <c r="D26" s="45" t="n">
        <v>382.52</v>
      </c>
      <c r="E26" s="46" t="n">
        <v>369.55</v>
      </c>
      <c r="F26" s="54"/>
      <c r="G26" s="54"/>
      <c r="H26" s="54"/>
      <c r="I26" s="54"/>
      <c r="J26" s="54"/>
      <c r="K26" s="47" t="n">
        <f aca="false">C26*D26</f>
        <v>49727.6</v>
      </c>
      <c r="L26" s="47" t="n">
        <f aca="false">C26*(E26-D26)</f>
        <v>-1686.1</v>
      </c>
      <c r="M26" s="48" t="n">
        <f aca="false">IF(D26=0,"",(E26-D26)/D26)</f>
        <v>-0.0339067238314336</v>
      </c>
      <c r="N26" s="49" t="str">
        <f aca="false">IF(G26="","",C26*(G26-D26))</f>
        <v/>
      </c>
      <c r="O26" s="49" t="str">
        <f aca="false">IF(H26="","",C26*(H26-D26))</f>
        <v/>
      </c>
      <c r="P26" s="49" t="str">
        <f aca="false">IF(I26="","",C26*(I26-D26))</f>
        <v/>
      </c>
      <c r="Q26" s="49" t="str">
        <f aca="false">IF(J26="","",C26*(J26-D26))</f>
        <v/>
      </c>
    </row>
    <row r="27" customFormat="false" ht="16.5" hidden="false" customHeight="true" outlineLevel="0" collapsed="false">
      <c r="A27" s="50" t="s">
        <v>266</v>
      </c>
      <c r="B27" s="51" t="s">
        <v>267</v>
      </c>
      <c r="C27" s="52" t="n">
        <v>600</v>
      </c>
      <c r="D27" s="53" t="n">
        <v>83.2</v>
      </c>
      <c r="E27" s="46" t="n">
        <v>73.53</v>
      </c>
      <c r="F27" s="54"/>
      <c r="G27" s="54"/>
      <c r="H27" s="54"/>
      <c r="I27" s="54"/>
      <c r="J27" s="54"/>
      <c r="K27" s="47" t="n">
        <f aca="false">C27*D27</f>
        <v>49920</v>
      </c>
      <c r="L27" s="47" t="n">
        <f aca="false">C27*(E27-D27)</f>
        <v>-5802</v>
      </c>
      <c r="M27" s="48" t="n">
        <f aca="false">IF(D27=0,"",(E27-D27)/D27)</f>
        <v>-0.116225961538462</v>
      </c>
      <c r="N27" s="49" t="str">
        <f aca="false">IF(G27="","",C27*(G27-D27))</f>
        <v/>
      </c>
      <c r="O27" s="49" t="str">
        <f aca="false">IF(H27="","",C27*(H27-D27))</f>
        <v/>
      </c>
      <c r="P27" s="49" t="str">
        <f aca="false">IF(I27="","",C27*(I27-D27))</f>
        <v/>
      </c>
      <c r="Q27" s="49" t="str">
        <f aca="false">IF(J27="","",C27*(J27-D27))</f>
        <v/>
      </c>
    </row>
    <row r="28" customFormat="false" ht="16.5" hidden="false" customHeight="true" outlineLevel="0" collapsed="false">
      <c r="A28" s="42" t="s">
        <v>268</v>
      </c>
      <c r="B28" s="43" t="s">
        <v>269</v>
      </c>
      <c r="C28" s="44" t="n">
        <v>38</v>
      </c>
      <c r="D28" s="45" t="n">
        <v>1332.65</v>
      </c>
      <c r="E28" s="46" t="n">
        <v>1228.9</v>
      </c>
      <c r="F28" s="54"/>
      <c r="G28" s="54"/>
      <c r="H28" s="54"/>
      <c r="I28" s="54"/>
      <c r="J28" s="54"/>
      <c r="K28" s="47" t="n">
        <f aca="false">C28*D28</f>
        <v>50640.7</v>
      </c>
      <c r="L28" s="47" t="n">
        <f aca="false">C28*(E28-D28)</f>
        <v>-3942.5</v>
      </c>
      <c r="M28" s="48" t="n">
        <f aca="false">IF(D28=0,"",(E28-D28)/D28)</f>
        <v>-0.0778523993546693</v>
      </c>
      <c r="N28" s="49" t="str">
        <f aca="false">IF(G28="","",C28*(G28-D28))</f>
        <v/>
      </c>
      <c r="O28" s="49" t="str">
        <f aca="false">IF(H28="","",C28*(H28-D28))</f>
        <v/>
      </c>
      <c r="P28" s="49" t="str">
        <f aca="false">IF(I28="","",C28*(I28-D28))</f>
        <v/>
      </c>
      <c r="Q28" s="49" t="str">
        <f aca="false">IF(J28="","",C28*(J28-D28))</f>
        <v/>
      </c>
    </row>
    <row r="29" customFormat="false" ht="16.5" hidden="false" customHeight="true" outlineLevel="0" collapsed="false">
      <c r="A29" s="50" t="s">
        <v>270</v>
      </c>
      <c r="B29" s="51" t="s">
        <v>271</v>
      </c>
      <c r="C29" s="52" t="n">
        <v>150</v>
      </c>
      <c r="D29" s="53" t="n">
        <v>632.7</v>
      </c>
      <c r="E29" s="46" t="n">
        <v>535.35</v>
      </c>
      <c r="F29" s="54"/>
      <c r="G29" s="54"/>
      <c r="H29" s="54"/>
      <c r="I29" s="54"/>
      <c r="J29" s="54"/>
      <c r="K29" s="47" t="n">
        <f aca="false">C29*D29</f>
        <v>94905</v>
      </c>
      <c r="L29" s="47" t="n">
        <f aca="false">C29*(E29-D29)</f>
        <v>-14602.5</v>
      </c>
      <c r="M29" s="48" t="n">
        <f aca="false">IF(D29=0,"",(E29-D29)/D29)</f>
        <v>-0.153864390706496</v>
      </c>
      <c r="N29" s="49" t="str">
        <f aca="false">IF(G29="","",C29*(G29-D29))</f>
        <v/>
      </c>
      <c r="O29" s="49" t="str">
        <f aca="false">IF(H29="","",C29*(H29-D29))</f>
        <v/>
      </c>
      <c r="P29" s="49" t="str">
        <f aca="false">IF(I29="","",C29*(I29-D29))</f>
        <v/>
      </c>
      <c r="Q29" s="49" t="str">
        <f aca="false">IF(J29="","",C29*(J29-D29))</f>
        <v/>
      </c>
    </row>
    <row r="30" customFormat="false" ht="16.5" hidden="false" customHeight="true" outlineLevel="0" collapsed="false">
      <c r="A30" s="42" t="s">
        <v>272</v>
      </c>
      <c r="B30" s="43" t="s">
        <v>273</v>
      </c>
      <c r="C30" s="44" t="n">
        <v>30</v>
      </c>
      <c r="D30" s="45" t="n">
        <v>4753.22</v>
      </c>
      <c r="E30" s="46" t="n">
        <v>4321</v>
      </c>
      <c r="F30" s="54"/>
      <c r="G30" s="54"/>
      <c r="H30" s="54"/>
      <c r="I30" s="54"/>
      <c r="J30" s="54"/>
      <c r="K30" s="47" t="n">
        <f aca="false">C30*D30</f>
        <v>142596.6</v>
      </c>
      <c r="L30" s="47" t="n">
        <f aca="false">C30*(E30-D30)</f>
        <v>-12966.6</v>
      </c>
      <c r="M30" s="48" t="n">
        <f aca="false">IF(D30=0,"",(E30-D30)/D30)</f>
        <v>-0.0909320418579406</v>
      </c>
      <c r="N30" s="49" t="str">
        <f aca="false">IF(G30="","",C30*(G30-D30))</f>
        <v/>
      </c>
      <c r="O30" s="49" t="str">
        <f aca="false">IF(H30="","",C30*(H30-D30))</f>
        <v/>
      </c>
      <c r="P30" s="49" t="str">
        <f aca="false">IF(I30="","",C30*(I30-D30))</f>
        <v/>
      </c>
      <c r="Q30" s="49" t="str">
        <f aca="false">IF(J30="","",C30*(J30-D30))</f>
        <v/>
      </c>
    </row>
    <row r="31" customFormat="false" ht="16.5" hidden="false" customHeight="true" outlineLevel="0" collapsed="false">
      <c r="A31" s="50" t="s">
        <v>274</v>
      </c>
      <c r="B31" s="51" t="s">
        <v>275</v>
      </c>
      <c r="C31" s="52" t="n">
        <v>150</v>
      </c>
      <c r="D31" s="53" t="n">
        <v>284.65</v>
      </c>
      <c r="E31" s="46" t="n">
        <v>288.55</v>
      </c>
      <c r="F31" s="54"/>
      <c r="G31" s="54"/>
      <c r="H31" s="54"/>
      <c r="I31" s="54"/>
      <c r="J31" s="54"/>
      <c r="K31" s="47" t="n">
        <f aca="false">C31*D31</f>
        <v>42697.5</v>
      </c>
      <c r="L31" s="47" t="n">
        <f aca="false">C31*(E31-D31)</f>
        <v>585.000000000005</v>
      </c>
      <c r="M31" s="48" t="n">
        <f aca="false">IF(D31=0,"",(E31-D31)/D31)</f>
        <v>0.0137010363604428</v>
      </c>
      <c r="N31" s="49" t="str">
        <f aca="false">IF(G31="","",C31*(G31-D31))</f>
        <v/>
      </c>
      <c r="O31" s="49" t="str">
        <f aca="false">IF(H31="","",C31*(H31-D31))</f>
        <v/>
      </c>
      <c r="P31" s="49" t="str">
        <f aca="false">IF(I31="","",C31*(I31-D31))</f>
        <v/>
      </c>
      <c r="Q31" s="49" t="str">
        <f aca="false">IF(J31="","",C31*(J31-D31))</f>
        <v/>
      </c>
    </row>
    <row r="32" customFormat="false" ht="16.5" hidden="false" customHeight="true" outlineLevel="0" collapsed="false">
      <c r="A32" s="42" t="s">
        <v>276</v>
      </c>
      <c r="B32" s="43" t="s">
        <v>277</v>
      </c>
      <c r="C32" s="44" t="n">
        <v>115</v>
      </c>
      <c r="D32" s="45" t="n">
        <v>436.38</v>
      </c>
      <c r="E32" s="46" t="n">
        <v>436.3</v>
      </c>
      <c r="F32" s="54"/>
      <c r="G32" s="54"/>
      <c r="H32" s="54"/>
      <c r="I32" s="54"/>
      <c r="J32" s="54"/>
      <c r="K32" s="47" t="n">
        <f aca="false">C32*D32</f>
        <v>50183.7</v>
      </c>
      <c r="L32" s="47" t="n">
        <f aca="false">C32*(E32-D32)</f>
        <v>-9.19999999999817</v>
      </c>
      <c r="M32" s="48" t="n">
        <f aca="false">IF(D32=0,"",(E32-D32)/D32)</f>
        <v>-0.0001833264585911</v>
      </c>
      <c r="N32" s="49" t="str">
        <f aca="false">IF(G32="","",C32*(G32-D32))</f>
        <v/>
      </c>
      <c r="O32" s="49" t="str">
        <f aca="false">IF(H32="","",C32*(H32-D32))</f>
        <v/>
      </c>
      <c r="P32" s="49" t="str">
        <f aca="false">IF(I32="","",C32*(I32-D32))</f>
        <v/>
      </c>
      <c r="Q32" s="49" t="str">
        <f aca="false">IF(J32="","",C32*(J32-D32))</f>
        <v/>
      </c>
    </row>
    <row r="33" customFormat="false" ht="16.5" hidden="false" customHeight="true" outlineLevel="0" collapsed="false">
      <c r="A33" s="50" t="s">
        <v>278</v>
      </c>
      <c r="B33" s="51" t="s">
        <v>279</v>
      </c>
      <c r="C33" s="52" t="n">
        <v>50</v>
      </c>
      <c r="D33" s="53" t="n">
        <v>2253.92</v>
      </c>
      <c r="E33" s="46" t="n">
        <v>2344.6</v>
      </c>
      <c r="F33" s="54"/>
      <c r="G33" s="54"/>
      <c r="H33" s="54"/>
      <c r="I33" s="54"/>
      <c r="J33" s="54"/>
      <c r="K33" s="47" t="n">
        <f aca="false">C33*D33</f>
        <v>112696</v>
      </c>
      <c r="L33" s="47" t="n">
        <f aca="false">C33*(E33-D33)</f>
        <v>4533.99999999999</v>
      </c>
      <c r="M33" s="48" t="n">
        <f aca="false">IF(D33=0,"",(E33-D33)/D33)</f>
        <v>0.0402321289131823</v>
      </c>
      <c r="N33" s="49" t="str">
        <f aca="false">IF(G33="","",C33*(G33-D33))</f>
        <v/>
      </c>
      <c r="O33" s="49" t="str">
        <f aca="false">IF(H33="","",C33*(H33-D33))</f>
        <v/>
      </c>
      <c r="P33" s="49" t="str">
        <f aca="false">IF(I33="","",C33*(I33-D33))</f>
        <v/>
      </c>
      <c r="Q33" s="49" t="str">
        <f aca="false">IF(J33="","",C33*(J33-D33))</f>
        <v/>
      </c>
    </row>
    <row r="34" customFormat="false" ht="16.5" hidden="false" customHeight="true" outlineLevel="0" collapsed="false">
      <c r="A34" s="42" t="s">
        <v>131</v>
      </c>
      <c r="B34" s="43" t="s">
        <v>131</v>
      </c>
      <c r="C34" s="44" t="n">
        <v>250</v>
      </c>
      <c r="D34" s="45" t="n">
        <v>190.28</v>
      </c>
      <c r="E34" s="46" t="n">
        <v>186.92</v>
      </c>
      <c r="F34" s="18" t="n">
        <v>138</v>
      </c>
      <c r="G34" s="18" t="n">
        <v>177</v>
      </c>
      <c r="H34" s="18" t="n">
        <v>198</v>
      </c>
      <c r="I34" s="18" t="n">
        <v>210</v>
      </c>
      <c r="J34" s="18" t="n">
        <v>212</v>
      </c>
      <c r="K34" s="47" t="n">
        <f aca="false">C34*D34</f>
        <v>47570</v>
      </c>
      <c r="L34" s="47" t="n">
        <f aca="false">C34*(E34-D34)</f>
        <v>-840.000000000003</v>
      </c>
      <c r="M34" s="48" t="n">
        <f aca="false">IF(D34=0,"",(E34-D34)/D34)</f>
        <v>-0.0176581879335717</v>
      </c>
      <c r="N34" s="49" t="n">
        <f aca="false">IF(G34="","",C34*(G34-D34))</f>
        <v>-3320</v>
      </c>
      <c r="O34" s="49" t="n">
        <f aca="false">IF(H34="","",C34*(H34-D34))</f>
        <v>1930</v>
      </c>
      <c r="P34" s="49" t="n">
        <f aca="false">IF(I34="","",C34*(I34-D34))</f>
        <v>4930</v>
      </c>
      <c r="Q34" s="49" t="n">
        <f aca="false">IF(J34="","",C34*(J34-D34))</f>
        <v>5430</v>
      </c>
    </row>
    <row r="35" customFormat="false" ht="16.5" hidden="false" customHeight="true" outlineLevel="0" collapsed="false">
      <c r="A35" s="50" t="s">
        <v>280</v>
      </c>
      <c r="B35" s="51" t="s">
        <v>281</v>
      </c>
      <c r="C35" s="52" t="n">
        <v>14</v>
      </c>
      <c r="D35" s="53" t="n">
        <v>3542.66</v>
      </c>
      <c r="E35" s="46" t="n">
        <v>3278.6</v>
      </c>
      <c r="F35" s="54"/>
      <c r="G35" s="54"/>
      <c r="H35" s="54"/>
      <c r="I35" s="54"/>
      <c r="J35" s="54"/>
      <c r="K35" s="47" t="n">
        <f aca="false">C35*D35</f>
        <v>49597.24</v>
      </c>
      <c r="L35" s="47" t="n">
        <f aca="false">C35*(E35-D35)</f>
        <v>-3696.84</v>
      </c>
      <c r="M35" s="48" t="n">
        <f aca="false">IF(D35=0,"",(E35-D35)/D35)</f>
        <v>-0.0745372121513213</v>
      </c>
      <c r="N35" s="49" t="str">
        <f aca="false">IF(G35="","",C35*(G35-D35))</f>
        <v/>
      </c>
      <c r="O35" s="49" t="str">
        <f aca="false">IF(H35="","",C35*(H35-D35))</f>
        <v/>
      </c>
      <c r="P35" s="49" t="str">
        <f aca="false">IF(I35="","",C35*(I35-D35))</f>
        <v/>
      </c>
      <c r="Q35" s="49" t="str">
        <f aca="false">IF(J35="","",C35*(J35-D35))</f>
        <v/>
      </c>
    </row>
    <row r="36" customFormat="false" ht="16.5" hidden="false" customHeight="true" outlineLevel="0" collapsed="false">
      <c r="A36" s="42" t="s">
        <v>282</v>
      </c>
      <c r="B36" s="43" t="s">
        <v>283</v>
      </c>
      <c r="C36" s="44" t="n">
        <v>502</v>
      </c>
      <c r="D36" s="45" t="n">
        <v>50.02</v>
      </c>
      <c r="E36" s="46" t="n">
        <v>51.14</v>
      </c>
      <c r="F36" s="54"/>
      <c r="G36" s="54"/>
      <c r="H36" s="54"/>
      <c r="I36" s="54"/>
      <c r="J36" s="54"/>
      <c r="K36" s="47" t="n">
        <f aca="false">C36*D36</f>
        <v>25110.04</v>
      </c>
      <c r="L36" s="47" t="n">
        <f aca="false">C36*(E36-D36)</f>
        <v>562.239999999999</v>
      </c>
      <c r="M36" s="48" t="n">
        <f aca="false">IF(D36=0,"",(E36-D36)/D36)</f>
        <v>0.0223910435825669</v>
      </c>
      <c r="N36" s="49" t="str">
        <f aca="false">IF(G36="","",C36*(G36-D36))</f>
        <v/>
      </c>
      <c r="O36" s="49" t="str">
        <f aca="false">IF(H36="","",C36*(H36-D36))</f>
        <v/>
      </c>
      <c r="P36" s="49" t="str">
        <f aca="false">IF(I36="","",C36*(I36-D36))</f>
        <v/>
      </c>
      <c r="Q36" s="49" t="str">
        <f aca="false">IF(J36="","",C36*(J36-D36))</f>
        <v/>
      </c>
    </row>
    <row r="37" customFormat="false" ht="16.5" hidden="false" customHeight="true" outlineLevel="0" collapsed="false">
      <c r="A37" s="50" t="s">
        <v>284</v>
      </c>
      <c r="B37" s="51" t="s">
        <v>285</v>
      </c>
      <c r="C37" s="52" t="n">
        <v>200</v>
      </c>
      <c r="D37" s="53" t="n">
        <v>670.41</v>
      </c>
      <c r="E37" s="46" t="n">
        <v>524</v>
      </c>
      <c r="F37" s="54"/>
      <c r="G37" s="54"/>
      <c r="H37" s="54"/>
      <c r="I37" s="54"/>
      <c r="J37" s="54"/>
      <c r="K37" s="47" t="n">
        <f aca="false">C37*D37</f>
        <v>134082</v>
      </c>
      <c r="L37" s="47" t="n">
        <f aca="false">C37*(E37-D37)</f>
        <v>-29282</v>
      </c>
      <c r="M37" s="48" t="n">
        <f aca="false">IF(D37=0,"",(E37-D37)/D37)</f>
        <v>-0.218388747184559</v>
      </c>
      <c r="N37" s="49" t="str">
        <f aca="false">IF(G37="","",C37*(G37-D37))</f>
        <v/>
      </c>
      <c r="O37" s="49" t="str">
        <f aca="false">IF(H37="","",C37*(H37-D37))</f>
        <v/>
      </c>
      <c r="P37" s="49" t="str">
        <f aca="false">IF(I37="","",C37*(I37-D37))</f>
        <v/>
      </c>
      <c r="Q37" s="49" t="str">
        <f aca="false">IF(J37="","",C37*(J37-D37))</f>
        <v/>
      </c>
    </row>
    <row r="38" customFormat="false" ht="16.5" hidden="false" customHeight="true" outlineLevel="0" collapsed="false">
      <c r="A38" s="42" t="s">
        <v>286</v>
      </c>
      <c r="B38" s="43" t="s">
        <v>287</v>
      </c>
      <c r="C38" s="44" t="n">
        <v>20</v>
      </c>
      <c r="D38" s="45" t="n">
        <v>5106.23</v>
      </c>
      <c r="E38" s="46" t="n">
        <v>4898</v>
      </c>
      <c r="F38" s="54"/>
      <c r="G38" s="54"/>
      <c r="H38" s="54"/>
      <c r="I38" s="54"/>
      <c r="J38" s="54"/>
      <c r="K38" s="47" t="n">
        <f aca="false">C38*D38</f>
        <v>102124.6</v>
      </c>
      <c r="L38" s="47" t="n">
        <f aca="false">C38*(E38-D38)</f>
        <v>-4164.59999999999</v>
      </c>
      <c r="M38" s="48" t="n">
        <f aca="false">IF(D38=0,"",(E38-D38)/D38)</f>
        <v>-0.0407795966887507</v>
      </c>
      <c r="N38" s="49" t="str">
        <f aca="false">IF(G38="","",C38*(G38-D38))</f>
        <v/>
      </c>
      <c r="O38" s="49" t="str">
        <f aca="false">IF(H38="","",C38*(H38-D38))</f>
        <v/>
      </c>
      <c r="P38" s="49" t="str">
        <f aca="false">IF(I38="","",C38*(I38-D38))</f>
        <v/>
      </c>
      <c r="Q38" s="49" t="str">
        <f aca="false">IF(J38="","",C38*(J38-D38))</f>
        <v/>
      </c>
    </row>
    <row r="39" customFormat="false" ht="16.5" hidden="false" customHeight="true" outlineLevel="0" collapsed="false">
      <c r="A39" s="50" t="s">
        <v>288</v>
      </c>
      <c r="B39" s="51" t="s">
        <v>289</v>
      </c>
      <c r="C39" s="52" t="n">
        <v>40</v>
      </c>
      <c r="D39" s="53" t="n">
        <v>8238.87</v>
      </c>
      <c r="E39" s="46" t="n">
        <v>7429.5</v>
      </c>
      <c r="F39" s="18" t="n">
        <v>6808</v>
      </c>
      <c r="G39" s="18" t="n">
        <v>6663</v>
      </c>
      <c r="H39" s="18" t="n">
        <v>7844</v>
      </c>
      <c r="I39" s="18" t="n">
        <v>7948</v>
      </c>
      <c r="J39" s="18" t="n">
        <v>8407</v>
      </c>
      <c r="K39" s="47" t="n">
        <f aca="false">C39*D39</f>
        <v>329554.8</v>
      </c>
      <c r="L39" s="47" t="n">
        <f aca="false">C39*(E39-D39)</f>
        <v>-32374.8</v>
      </c>
      <c r="M39" s="48" t="n">
        <f aca="false">IF(D39=0,"",(E39-D39)/D39)</f>
        <v>-0.0982379865199962</v>
      </c>
      <c r="N39" s="49" t="n">
        <f aca="false">IF(G39="","",C39*(G39-D39))</f>
        <v>-63034.8</v>
      </c>
      <c r="O39" s="49" t="n">
        <f aca="false">IF(H39="","",C39*(H39-D39))</f>
        <v>-15794.8</v>
      </c>
      <c r="P39" s="49" t="n">
        <f aca="false">IF(I39="","",C39*(I39-D39))</f>
        <v>-11634.8</v>
      </c>
      <c r="Q39" s="49" t="n">
        <f aca="false">IF(J39="","",C39*(J39-D39))</f>
        <v>6725.19999999997</v>
      </c>
    </row>
    <row r="40" customFormat="false" ht="16.5" hidden="false" customHeight="true" outlineLevel="0" collapsed="false">
      <c r="A40" s="42" t="s">
        <v>290</v>
      </c>
      <c r="B40" s="43" t="s">
        <v>291</v>
      </c>
      <c r="C40" s="44" t="n">
        <v>150</v>
      </c>
      <c r="D40" s="45" t="n">
        <v>796.07</v>
      </c>
      <c r="E40" s="46" t="n">
        <v>824.65</v>
      </c>
      <c r="F40" s="18" t="n">
        <v>782</v>
      </c>
      <c r="G40" s="18" t="n">
        <v>582</v>
      </c>
      <c r="H40" s="18" t="n">
        <v>925</v>
      </c>
      <c r="I40" s="18" t="n">
        <v>1070</v>
      </c>
      <c r="J40" s="18" t="n">
        <v>1080</v>
      </c>
      <c r="K40" s="47" t="n">
        <f aca="false">C40*D40</f>
        <v>119410.5</v>
      </c>
      <c r="L40" s="47" t="n">
        <f aca="false">C40*(E40-D40)</f>
        <v>4286.99999999999</v>
      </c>
      <c r="M40" s="48" t="n">
        <f aca="false">IF(D40=0,"",(E40-D40)/D40)</f>
        <v>0.0359013654578114</v>
      </c>
      <c r="N40" s="49" t="n">
        <f aca="false">IF(G40="","",C40*(G40-D40))</f>
        <v>-32110.5</v>
      </c>
      <c r="O40" s="49" t="n">
        <f aca="false">IF(H40="","",C40*(H40-D40))</f>
        <v>19339.5</v>
      </c>
      <c r="P40" s="49" t="n">
        <f aca="false">IF(I40="","",C40*(I40-D40))</f>
        <v>41089.5</v>
      </c>
      <c r="Q40" s="49" t="n">
        <f aca="false">IF(J40="","",C40*(J40-D40))</f>
        <v>42589.5</v>
      </c>
    </row>
    <row r="41" customFormat="false" ht="16.5" hidden="false" customHeight="true" outlineLevel="0" collapsed="false">
      <c r="A41" s="50" t="s">
        <v>292</v>
      </c>
      <c r="B41" s="51" t="s">
        <v>293</v>
      </c>
      <c r="C41" s="52" t="n">
        <v>340</v>
      </c>
      <c r="D41" s="53" t="n">
        <v>147.64</v>
      </c>
      <c r="E41" s="46" t="n">
        <v>118.86</v>
      </c>
      <c r="F41" s="54"/>
      <c r="G41" s="54"/>
      <c r="H41" s="54"/>
      <c r="I41" s="54"/>
      <c r="J41" s="54"/>
      <c r="K41" s="47" t="n">
        <f aca="false">C41*D41</f>
        <v>50197.6</v>
      </c>
      <c r="L41" s="47" t="n">
        <f aca="false">C41*(E41-D41)</f>
        <v>-9785.2</v>
      </c>
      <c r="M41" s="48" t="n">
        <f aca="false">IF(D41=0,"",(E41-D41)/D41)</f>
        <v>-0.194933622324573</v>
      </c>
      <c r="N41" s="49" t="str">
        <f aca="false">IF(G41="","",C41*(G41-D41))</f>
        <v/>
      </c>
      <c r="O41" s="49" t="str">
        <f aca="false">IF(H41="","",C41*(H41-D41))</f>
        <v/>
      </c>
      <c r="P41" s="49" t="str">
        <f aca="false">IF(I41="","",C41*(I41-D41))</f>
        <v/>
      </c>
      <c r="Q41" s="49" t="str">
        <f aca="false">IF(J41="","",C41*(J41-D41))</f>
        <v/>
      </c>
    </row>
    <row r="42" customFormat="false" ht="16.5" hidden="false" customHeight="true" outlineLevel="0" collapsed="false">
      <c r="A42" s="42" t="s">
        <v>294</v>
      </c>
      <c r="B42" s="43" t="s">
        <v>295</v>
      </c>
      <c r="C42" s="44" t="n">
        <v>200</v>
      </c>
      <c r="D42" s="45" t="n">
        <v>794.87</v>
      </c>
      <c r="E42" s="46" t="n">
        <v>781.55</v>
      </c>
      <c r="F42" s="54"/>
      <c r="G42" s="54"/>
      <c r="H42" s="54"/>
      <c r="I42" s="54"/>
      <c r="J42" s="54"/>
      <c r="K42" s="47" t="n">
        <f aca="false">C42*D42</f>
        <v>158974</v>
      </c>
      <c r="L42" s="47" t="n">
        <f aca="false">C42*(E42-D42)</f>
        <v>-2664.00000000001</v>
      </c>
      <c r="M42" s="48" t="n">
        <f aca="false">IF(D42=0,"",(E42-D42)/D42)</f>
        <v>-0.0167574571942582</v>
      </c>
      <c r="N42" s="49" t="str">
        <f aca="false">IF(G42="","",C42*(G42-D42))</f>
        <v/>
      </c>
      <c r="O42" s="49" t="str">
        <f aca="false">IF(H42="","",C42*(H42-D42))</f>
        <v/>
      </c>
      <c r="P42" s="49" t="str">
        <f aca="false">IF(I42="","",C42*(I42-D42))</f>
        <v/>
      </c>
      <c r="Q42" s="49" t="str">
        <f aca="false">IF(J42="","",C42*(J42-D42))</f>
        <v/>
      </c>
    </row>
    <row r="43" customFormat="false" ht="16.5" hidden="false" customHeight="true" outlineLevel="0" collapsed="false">
      <c r="A43" s="50" t="s">
        <v>296</v>
      </c>
      <c r="B43" s="51" t="s">
        <v>297</v>
      </c>
      <c r="C43" s="52" t="n">
        <v>50</v>
      </c>
      <c r="D43" s="53" t="n">
        <v>1007.36</v>
      </c>
      <c r="E43" s="46" t="n">
        <v>952.4</v>
      </c>
      <c r="F43" s="54"/>
      <c r="G43" s="54"/>
      <c r="H43" s="54"/>
      <c r="I43" s="54"/>
      <c r="J43" s="54"/>
      <c r="K43" s="47" t="n">
        <f aca="false">C43*D43</f>
        <v>50368</v>
      </c>
      <c r="L43" s="47" t="n">
        <f aca="false">C43*(E43-D43)</f>
        <v>-2748</v>
      </c>
      <c r="M43" s="48" t="n">
        <f aca="false">IF(D43=0,"",(E43-D43)/D43)</f>
        <v>-0.0545584498094028</v>
      </c>
      <c r="N43" s="49" t="str">
        <f aca="false">IF(G43="","",C43*(G43-D43))</f>
        <v/>
      </c>
      <c r="O43" s="49" t="str">
        <f aca="false">IF(H43="","",C43*(H43-D43))</f>
        <v/>
      </c>
      <c r="P43" s="49" t="str">
        <f aca="false">IF(I43="","",C43*(I43-D43))</f>
        <v/>
      </c>
      <c r="Q43" s="49" t="str">
        <f aca="false">IF(J43="","",C43*(J43-D43))</f>
        <v/>
      </c>
    </row>
    <row r="44" customFormat="false" ht="16.5" hidden="false" customHeight="true" outlineLevel="0" collapsed="false">
      <c r="A44" s="42" t="s">
        <v>298</v>
      </c>
      <c r="B44" s="43" t="s">
        <v>153</v>
      </c>
      <c r="C44" s="44" t="n">
        <v>500</v>
      </c>
      <c r="D44" s="45" t="n">
        <v>476.13</v>
      </c>
      <c r="E44" s="46" t="n">
        <v>428.15</v>
      </c>
      <c r="F44" s="18" t="n">
        <v>295</v>
      </c>
      <c r="G44" s="18" t="n">
        <v>409</v>
      </c>
      <c r="H44" s="18" t="n">
        <v>494</v>
      </c>
      <c r="I44" s="18" t="n">
        <v>524</v>
      </c>
      <c r="J44" s="18" t="n">
        <v>669</v>
      </c>
      <c r="K44" s="47" t="n">
        <f aca="false">C44*D44</f>
        <v>238065</v>
      </c>
      <c r="L44" s="47" t="n">
        <f aca="false">C44*(E44-D44)</f>
        <v>-23990</v>
      </c>
      <c r="M44" s="48" t="n">
        <f aca="false">IF(D44=0,"",(E44-D44)/D44)</f>
        <v>-0.100770797891332</v>
      </c>
      <c r="N44" s="49" t="n">
        <f aca="false">IF(G44="","",C44*(G44-D44))</f>
        <v>-33565</v>
      </c>
      <c r="O44" s="49" t="n">
        <f aca="false">IF(H44="","",C44*(H44-D44))</f>
        <v>8935</v>
      </c>
      <c r="P44" s="49" t="n">
        <f aca="false">IF(I44="","",C44*(I44-D44))</f>
        <v>23935</v>
      </c>
      <c r="Q44" s="49" t="n">
        <f aca="false">IF(J44="","",C44*(J44-D44))</f>
        <v>96435</v>
      </c>
    </row>
    <row r="45" customFormat="false" ht="16.5" hidden="false" customHeight="true" outlineLevel="0" collapsed="false">
      <c r="A45" s="50" t="s">
        <v>160</v>
      </c>
      <c r="B45" s="51" t="s">
        <v>299</v>
      </c>
      <c r="C45" s="52" t="n">
        <v>150</v>
      </c>
      <c r="D45" s="53" t="n">
        <v>383.15</v>
      </c>
      <c r="E45" s="46" t="n">
        <v>394</v>
      </c>
      <c r="F45" s="54"/>
      <c r="G45" s="54"/>
      <c r="H45" s="54"/>
      <c r="I45" s="54"/>
      <c r="J45" s="54"/>
      <c r="K45" s="47" t="n">
        <f aca="false">C45*D45</f>
        <v>57472.5</v>
      </c>
      <c r="L45" s="47" t="n">
        <f aca="false">C45*(E45-D45)</f>
        <v>1627.5</v>
      </c>
      <c r="M45" s="48" t="n">
        <f aca="false">IF(D45=0,"",(E45-D45)/D45)</f>
        <v>0.02831789116534</v>
      </c>
      <c r="N45" s="49" t="str">
        <f aca="false">IF(G45="","",C45*(G45-D45))</f>
        <v/>
      </c>
      <c r="O45" s="49" t="str">
        <f aca="false">IF(H45="","",C45*(H45-D45))</f>
        <v/>
      </c>
      <c r="P45" s="49" t="str">
        <f aca="false">IF(I45="","",C45*(I45-D45))</f>
        <v/>
      </c>
      <c r="Q45" s="49" t="str">
        <f aca="false">IF(J45="","",C45*(J45-D45))</f>
        <v/>
      </c>
    </row>
    <row r="46" customFormat="false" ht="16.5" hidden="false" customHeight="true" outlineLevel="0" collapsed="false">
      <c r="A46" s="42" t="s">
        <v>300</v>
      </c>
      <c r="B46" s="43" t="s">
        <v>301</v>
      </c>
      <c r="C46" s="44" t="n">
        <v>700</v>
      </c>
      <c r="D46" s="45" t="n">
        <v>142.31</v>
      </c>
      <c r="E46" s="46" t="n">
        <v>121.6</v>
      </c>
      <c r="F46" s="54"/>
      <c r="G46" s="54"/>
      <c r="H46" s="54"/>
      <c r="I46" s="54"/>
      <c r="J46" s="54"/>
      <c r="K46" s="47" t="n">
        <f aca="false">C46*D46</f>
        <v>99617</v>
      </c>
      <c r="L46" s="47" t="n">
        <f aca="false">C46*(E46-D46)</f>
        <v>-14497</v>
      </c>
      <c r="M46" s="48" t="n">
        <f aca="false">IF(D46=0,"",(E46-D46)/D46)</f>
        <v>-0.145527369826435</v>
      </c>
      <c r="N46" s="49" t="str">
        <f aca="false">IF(G46="","",C46*(G46-D46))</f>
        <v/>
      </c>
      <c r="O46" s="49" t="str">
        <f aca="false">IF(H46="","",C46*(H46-D46))</f>
        <v/>
      </c>
      <c r="P46" s="49" t="str">
        <f aca="false">IF(I46="","",C46*(I46-D46))</f>
        <v/>
      </c>
      <c r="Q46" s="49" t="str">
        <f aca="false">IF(J46="","",C46*(J46-D46))</f>
        <v/>
      </c>
    </row>
    <row r="47" customFormat="false" ht="16.5" hidden="false" customHeight="true" outlineLevel="0" collapsed="false">
      <c r="A47" s="50" t="s">
        <v>302</v>
      </c>
      <c r="B47" s="51" t="s">
        <v>303</v>
      </c>
      <c r="C47" s="52" t="n">
        <v>20</v>
      </c>
      <c r="D47" s="53" t="n">
        <v>3658.33</v>
      </c>
      <c r="E47" s="46" t="n">
        <v>3470.5</v>
      </c>
      <c r="F47" s="54"/>
      <c r="G47" s="54"/>
      <c r="H47" s="54"/>
      <c r="I47" s="54"/>
      <c r="J47" s="54"/>
      <c r="K47" s="47" t="n">
        <f aca="false">C47*D47</f>
        <v>73166.6</v>
      </c>
      <c r="L47" s="47" t="n">
        <f aca="false">C47*(E47-D47)</f>
        <v>-3756.6</v>
      </c>
      <c r="M47" s="48" t="n">
        <f aca="false">IF(D47=0,"",(E47-D47)/D47)</f>
        <v>-0.0513430991736667</v>
      </c>
      <c r="N47" s="49" t="str">
        <f aca="false">IF(G47="","",C47*(G47-D47))</f>
        <v/>
      </c>
      <c r="O47" s="49" t="str">
        <f aca="false">IF(H47="","",C47*(H47-D47))</f>
        <v/>
      </c>
      <c r="P47" s="49" t="str">
        <f aca="false">IF(I47="","",C47*(I47-D47))</f>
        <v/>
      </c>
      <c r="Q47" s="49" t="str">
        <f aca="false">IF(J47="","",C47*(J47-D47))</f>
        <v/>
      </c>
    </row>
    <row r="48" customFormat="false" ht="16.5" hidden="false" customHeight="true" outlineLevel="0" collapsed="false">
      <c r="A48" s="42" t="s">
        <v>304</v>
      </c>
      <c r="B48" s="43" t="s">
        <v>304</v>
      </c>
      <c r="C48" s="44" t="n">
        <v>350</v>
      </c>
      <c r="D48" s="45" t="n">
        <v>302.68</v>
      </c>
      <c r="E48" s="46" t="n">
        <v>289.4</v>
      </c>
      <c r="F48" s="54"/>
      <c r="G48" s="54"/>
      <c r="H48" s="54"/>
      <c r="I48" s="54"/>
      <c r="J48" s="54"/>
      <c r="K48" s="47" t="n">
        <f aca="false">C48*D48</f>
        <v>105938</v>
      </c>
      <c r="L48" s="47" t="n">
        <f aca="false">C48*(E48-D48)</f>
        <v>-4648.00000000001</v>
      </c>
      <c r="M48" s="48" t="n">
        <f aca="false">IF(D48=0,"",(E48-D48)/D48)</f>
        <v>-0.0438747191753668</v>
      </c>
      <c r="N48" s="49" t="str">
        <f aca="false">IF(G48="","",C48*(G48-D48))</f>
        <v/>
      </c>
      <c r="O48" s="49" t="str">
        <f aca="false">IF(H48="","",C48*(H48-D48))</f>
        <v/>
      </c>
      <c r="P48" s="49" t="str">
        <f aca="false">IF(I48="","",C48*(I48-D48))</f>
        <v/>
      </c>
      <c r="Q48" s="49" t="str">
        <f aca="false">IF(J48="","",C48*(J48-D48))</f>
        <v/>
      </c>
    </row>
    <row r="49" customFormat="false" ht="16.5" hidden="false" customHeight="true" outlineLevel="0" collapsed="false">
      <c r="A49" s="50" t="s">
        <v>305</v>
      </c>
      <c r="B49" s="51" t="s">
        <v>306</v>
      </c>
      <c r="C49" s="52" t="n">
        <v>265</v>
      </c>
      <c r="D49" s="53" t="n">
        <v>379.3</v>
      </c>
      <c r="E49" s="46" t="n">
        <v>335.35</v>
      </c>
      <c r="F49" s="54"/>
      <c r="G49" s="54"/>
      <c r="H49" s="54"/>
      <c r="I49" s="54"/>
      <c r="J49" s="54"/>
      <c r="K49" s="47" t="n">
        <f aca="false">C49*D49</f>
        <v>100514.5</v>
      </c>
      <c r="L49" s="47" t="n">
        <f aca="false">C49*(E49-D49)</f>
        <v>-11646.75</v>
      </c>
      <c r="M49" s="48" t="n">
        <f aca="false">IF(D49=0,"",(E49-D49)/D49)</f>
        <v>-0.115871341945689</v>
      </c>
      <c r="N49" s="49" t="str">
        <f aca="false">IF(G49="","",C49*(G49-D49))</f>
        <v/>
      </c>
      <c r="O49" s="49" t="str">
        <f aca="false">IF(H49="","",C49*(H49-D49))</f>
        <v/>
      </c>
      <c r="P49" s="49" t="str">
        <f aca="false">IF(I49="","",C49*(I49-D49))</f>
        <v/>
      </c>
      <c r="Q49" s="49" t="str">
        <f aca="false">IF(J49="","",C49*(J49-D49))</f>
        <v/>
      </c>
    </row>
    <row r="50" customFormat="false" ht="16.5" hidden="false" customHeight="true" outlineLevel="0" collapsed="false">
      <c r="A50" s="42" t="s">
        <v>307</v>
      </c>
      <c r="B50" s="43" t="s">
        <v>308</v>
      </c>
      <c r="C50" s="44" t="n">
        <v>556</v>
      </c>
      <c r="D50" s="45" t="n">
        <v>44.65</v>
      </c>
      <c r="E50" s="46" t="n">
        <v>40</v>
      </c>
      <c r="F50" s="54"/>
      <c r="G50" s="54"/>
      <c r="H50" s="54"/>
      <c r="I50" s="54"/>
      <c r="J50" s="54"/>
      <c r="K50" s="47" t="n">
        <f aca="false">C50*D50</f>
        <v>24825.4</v>
      </c>
      <c r="L50" s="47" t="n">
        <f aca="false">C50*(E50-D50)</f>
        <v>-2585.4</v>
      </c>
      <c r="M50" s="48" t="n">
        <f aca="false">IF(D50=0,"",(E50-D50)/D50)</f>
        <v>-0.104143337066069</v>
      </c>
      <c r="N50" s="49" t="str">
        <f aca="false">IF(G50="","",C50*(G50-D50))</f>
        <v/>
      </c>
      <c r="O50" s="49" t="str">
        <f aca="false">IF(H50="","",C50*(H50-D50))</f>
        <v/>
      </c>
      <c r="P50" s="49" t="str">
        <f aca="false">IF(I50="","",C50*(I50-D50))</f>
        <v/>
      </c>
      <c r="Q50" s="49" t="str">
        <f aca="false">IF(J50="","",C50*(J50-D50))</f>
        <v/>
      </c>
    </row>
    <row r="51" customFormat="false" ht="16.5" hidden="false" customHeight="true" outlineLevel="0" collapsed="false">
      <c r="A51" s="50" t="s">
        <v>174</v>
      </c>
      <c r="B51" s="51" t="s">
        <v>175</v>
      </c>
      <c r="C51" s="52" t="n">
        <v>126</v>
      </c>
      <c r="D51" s="53" t="n">
        <v>197.47</v>
      </c>
      <c r="E51" s="46" t="n">
        <v>165.98</v>
      </c>
      <c r="F51" s="54"/>
      <c r="G51" s="54"/>
      <c r="H51" s="54"/>
      <c r="I51" s="54"/>
      <c r="J51" s="54"/>
      <c r="K51" s="47" t="n">
        <f aca="false">C51*D51</f>
        <v>24881.22</v>
      </c>
      <c r="L51" s="47" t="n">
        <f aca="false">C51*(E51-D51)</f>
        <v>-3967.74</v>
      </c>
      <c r="M51" s="48" t="n">
        <f aca="false">IF(D51=0,"",(E51-D51)/D51)</f>
        <v>-0.159467260849749</v>
      </c>
      <c r="N51" s="49" t="str">
        <f aca="false">IF(G51="","",C51*(G51-D51))</f>
        <v/>
      </c>
      <c r="O51" s="49" t="str">
        <f aca="false">IF(H51="","",C51*(H51-D51))</f>
        <v/>
      </c>
      <c r="P51" s="49" t="str">
        <f aca="false">IF(I51="","",C51*(I51-D51))</f>
        <v/>
      </c>
      <c r="Q51" s="49" t="str">
        <f aca="false">IF(J51="","",C51*(J51-D51))</f>
        <v/>
      </c>
    </row>
    <row r="52" customFormat="false" ht="16.5" hidden="false" customHeight="true" outlineLevel="0" collapsed="false">
      <c r="A52" s="42" t="s">
        <v>178</v>
      </c>
      <c r="B52" s="43" t="s">
        <v>309</v>
      </c>
      <c r="C52" s="44" t="n">
        <v>133</v>
      </c>
      <c r="D52" s="45" t="n">
        <v>382.7</v>
      </c>
      <c r="E52" s="46" t="n">
        <v>515.8</v>
      </c>
      <c r="F52" s="54"/>
      <c r="G52" s="54"/>
      <c r="H52" s="54"/>
      <c r="I52" s="54"/>
      <c r="J52" s="54"/>
      <c r="K52" s="47" t="n">
        <f aca="false">C52*D52</f>
        <v>50899.1</v>
      </c>
      <c r="L52" s="47" t="n">
        <f aca="false">C52*(E52-D52)</f>
        <v>17702.3</v>
      </c>
      <c r="M52" s="48" t="n">
        <f aca="false">IF(D52=0,"",(E52-D52)/D52)</f>
        <v>0.34779200418082</v>
      </c>
      <c r="N52" s="49" t="str">
        <f aca="false">IF(G52="","",C52*(G52-D52))</f>
        <v/>
      </c>
      <c r="O52" s="49" t="str">
        <f aca="false">IF(H52="","",C52*(H52-D52))</f>
        <v/>
      </c>
      <c r="P52" s="49" t="str">
        <f aca="false">IF(I52="","",C52*(I52-D52))</f>
        <v/>
      </c>
      <c r="Q52" s="49" t="str">
        <f aca="false">IF(J52="","",C52*(J52-D52))</f>
        <v/>
      </c>
    </row>
    <row r="53" customFormat="false" ht="19.5" hidden="false" customHeight="true" outlineLevel="0" collapsed="false">
      <c r="A53" s="62" t="s">
        <v>186</v>
      </c>
      <c r="B53" s="62"/>
      <c r="C53" s="56" t="n">
        <f aca="false">SUM(C4:C52)</f>
        <v>11186</v>
      </c>
      <c r="D53" s="57"/>
      <c r="E53" s="57"/>
      <c r="F53" s="57"/>
      <c r="G53" s="57"/>
      <c r="H53" s="57"/>
      <c r="I53" s="57"/>
      <c r="J53" s="57"/>
      <c r="K53" s="58" t="n">
        <f aca="false">SUM(K4:K52)</f>
        <v>4928700.48</v>
      </c>
      <c r="L53" s="58" t="n">
        <f aca="false">SUM(L4:L52)</f>
        <v>-257290.98</v>
      </c>
      <c r="M53" s="59" t="n">
        <f aca="false">IF(K53=0,"",L53/K53)</f>
        <v>-0.0522026000654842</v>
      </c>
      <c r="N53" s="58" t="n">
        <f aca="false">SUM(N4:N52)</f>
        <v>-332563.35</v>
      </c>
      <c r="O53" s="58" t="n">
        <f aca="false">SUM(O4:O52)</f>
        <v>77713.65</v>
      </c>
      <c r="P53" s="58" t="n">
        <f aca="false">SUM(P4:P52)</f>
        <v>228629.65</v>
      </c>
      <c r="Q53" s="58" t="n">
        <f aca="false">SUM(Q4:Q52)</f>
        <v>354847.65</v>
      </c>
    </row>
    <row r="55" customFormat="false" ht="15" hidden="false" customHeight="true" outlineLevel="0" collapsed="false">
      <c r="A55" s="60" t="s">
        <v>227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</sheetData>
  <mergeCells count="7">
    <mergeCell ref="A1:Q1"/>
    <mergeCell ref="A2:E2"/>
    <mergeCell ref="F2:J2"/>
    <mergeCell ref="K2:M2"/>
    <mergeCell ref="N2:Q2"/>
    <mergeCell ref="A53:B53"/>
    <mergeCell ref="A55:Q55"/>
  </mergeCells>
  <conditionalFormatting sqref="L4:L5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M4:M52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2026-03-12T04:54:50Z</dcterms:created>
  <dc:creator>openpyxl</dc:creator>
  <dc:description/>
  <dc:language>en-US</dc:language>
  <cp:lastModifiedBy>Anshika Doogar</cp:lastModifiedBy>
  <dcterms:modified xsi:type="dcterms:W3CDTF">2026-03-15T19:20:08Z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